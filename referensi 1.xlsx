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Z:\01 Strategi\Data 2026\ePerencanaan Perjuangan\"/>
    </mc:Choice>
  </mc:AlternateContent>
  <xr:revisionPtr revIDLastSave="0" documentId="13_ncr:1_{EF6E6582-4204-48C6-A380-31F3F95923A2}" xr6:coauthVersionLast="47" xr6:coauthVersionMax="47" xr10:uidLastSave="{00000000-0000-0000-0000-000000000000}"/>
  <bookViews>
    <workbookView xWindow="-120" yWindow="-120" windowWidth="29040" windowHeight="15720" activeTab="4" xr2:uid="{46AA3FFA-DDCA-4F6B-AF75-1E573E662703}"/>
  </bookViews>
  <sheets>
    <sheet name="RSPP" sheetId="1" r:id="rId1"/>
    <sheet name="PNPPKP" sheetId="2" r:id="rId2"/>
    <sheet name="SPSK" sheetId="3" r:id="rId3"/>
    <sheet name="Tagging RENJA" sheetId="4" r:id="rId4"/>
    <sheet name="evaluasi Irwa" sheetId="6" r:id="rId5"/>
    <sheet name="evaluasi supan" sheetId="7" r:id="rId6"/>
    <sheet name="evaluasi benda" sheetId="9" r:id="rId7"/>
    <sheet name="evaluasi atab" sheetId="10" r:id="rId8"/>
    <sheet name="form" sheetId="5" r:id="rId9"/>
  </sheets>
  <definedNames>
    <definedName name="_xlnm._FilterDatabase" localSheetId="0" hidden="1">RSPP!$A$1:$L$1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3" i="6" l="1"/>
  <c r="D74" i="6"/>
  <c r="D75" i="6"/>
  <c r="D76" i="6"/>
  <c r="D77" i="6"/>
  <c r="D78" i="6"/>
  <c r="D79" i="6"/>
  <c r="D72" i="6"/>
  <c r="E28" i="6"/>
  <c r="E27" i="6"/>
  <c r="E26" i="6"/>
  <c r="V19" i="6"/>
  <c r="AB10" i="6"/>
  <c r="AB11" i="6"/>
  <c r="Z10" i="6"/>
  <c r="B28" i="6"/>
  <c r="B26" i="6"/>
  <c r="B27" i="6" s="1"/>
  <c r="S11" i="6"/>
  <c r="S12" i="6"/>
  <c r="S13" i="6"/>
  <c r="S14" i="6"/>
  <c r="S15" i="6"/>
  <c r="S16" i="6"/>
  <c r="S17" i="6"/>
  <c r="S10" i="6"/>
  <c r="D67" i="6"/>
  <c r="D66" i="6"/>
  <c r="D65" i="6"/>
  <c r="D64" i="6"/>
  <c r="D63" i="6"/>
  <c r="D62" i="6"/>
  <c r="D60" i="6"/>
  <c r="D55" i="6"/>
  <c r="D42" i="6"/>
  <c r="D44" i="6"/>
  <c r="D45" i="6"/>
  <c r="D46" i="6"/>
  <c r="D47" i="6"/>
  <c r="D48" i="6"/>
  <c r="C80" i="6"/>
  <c r="R18" i="6"/>
  <c r="L41" i="10"/>
  <c r="B40" i="10"/>
  <c r="Q35" i="10"/>
  <c r="M34" i="10"/>
  <c r="G34" i="10"/>
  <c r="L20" i="10"/>
  <c r="M19" i="10" s="1"/>
  <c r="M40" i="10" s="1"/>
  <c r="B19" i="10"/>
  <c r="C9" i="10" s="1"/>
  <c r="M18" i="10"/>
  <c r="M39" i="10" s="1"/>
  <c r="C18" i="10"/>
  <c r="C39" i="10" s="1"/>
  <c r="M17" i="10"/>
  <c r="M38" i="10" s="1"/>
  <c r="C17" i="10"/>
  <c r="C38" i="10" s="1"/>
  <c r="M16" i="10"/>
  <c r="M37" i="10" s="1"/>
  <c r="C16" i="10"/>
  <c r="C37" i="10" s="1"/>
  <c r="M15" i="10"/>
  <c r="M36" i="10" s="1"/>
  <c r="C15" i="10"/>
  <c r="C36" i="10" s="1"/>
  <c r="Q14" i="10"/>
  <c r="R13" i="10" s="1"/>
  <c r="R34" i="10" s="1"/>
  <c r="M14" i="10"/>
  <c r="M35" i="10" s="1"/>
  <c r="C14" i="10"/>
  <c r="C35" i="10" s="1"/>
  <c r="M13" i="10"/>
  <c r="G13" i="10"/>
  <c r="H12" i="10"/>
  <c r="H33" i="10" s="1"/>
  <c r="C12" i="10"/>
  <c r="C33" i="10" s="1"/>
  <c r="M11" i="10"/>
  <c r="M32" i="10" s="1"/>
  <c r="H11" i="10"/>
  <c r="H32" i="10" s="1"/>
  <c r="C11" i="10"/>
  <c r="C32" i="10" s="1"/>
  <c r="M10" i="10"/>
  <c r="M31" i="10" s="1"/>
  <c r="H10" i="10"/>
  <c r="H31" i="10" s="1"/>
  <c r="C10" i="10"/>
  <c r="C31" i="10" s="1"/>
  <c r="M9" i="10"/>
  <c r="M30" i="10" s="1"/>
  <c r="H9" i="10"/>
  <c r="H30" i="10" s="1"/>
  <c r="H34" i="10" s="1"/>
  <c r="B24" i="10" s="1"/>
  <c r="L41" i="9"/>
  <c r="B40" i="9"/>
  <c r="M39" i="9"/>
  <c r="M38" i="9"/>
  <c r="Q35" i="9"/>
  <c r="M34" i="9"/>
  <c r="G34" i="9"/>
  <c r="L20" i="9"/>
  <c r="M19" i="9"/>
  <c r="M40" i="9" s="1"/>
  <c r="B19" i="9"/>
  <c r="C9" i="9" s="1"/>
  <c r="M18" i="9"/>
  <c r="C18" i="9"/>
  <c r="C39" i="9" s="1"/>
  <c r="M17" i="9"/>
  <c r="C17" i="9"/>
  <c r="C38" i="9" s="1"/>
  <c r="M16" i="9"/>
  <c r="M37" i="9" s="1"/>
  <c r="C16" i="9"/>
  <c r="C37" i="9" s="1"/>
  <c r="M15" i="9"/>
  <c r="M36" i="9" s="1"/>
  <c r="C15" i="9"/>
  <c r="C36" i="9" s="1"/>
  <c r="Q14" i="9"/>
  <c r="R13" i="9" s="1"/>
  <c r="R34" i="9" s="1"/>
  <c r="M14" i="9"/>
  <c r="M35" i="9" s="1"/>
  <c r="C14" i="9"/>
  <c r="C35" i="9" s="1"/>
  <c r="M13" i="9"/>
  <c r="G13" i="9"/>
  <c r="M12" i="9"/>
  <c r="M33" i="9" s="1"/>
  <c r="H12" i="9"/>
  <c r="H33" i="9" s="1"/>
  <c r="C12" i="9"/>
  <c r="C33" i="9" s="1"/>
  <c r="M11" i="9"/>
  <c r="M32" i="9" s="1"/>
  <c r="H11" i="9"/>
  <c r="H32" i="9" s="1"/>
  <c r="C11" i="9"/>
  <c r="C32" i="9" s="1"/>
  <c r="M10" i="9"/>
  <c r="M31" i="9" s="1"/>
  <c r="H10" i="9"/>
  <c r="H31" i="9" s="1"/>
  <c r="C10" i="9"/>
  <c r="C31" i="9" s="1"/>
  <c r="R9" i="9"/>
  <c r="R30" i="9" s="1"/>
  <c r="M9" i="9"/>
  <c r="M20" i="9" s="1"/>
  <c r="H9" i="9"/>
  <c r="H13" i="9" s="1"/>
  <c r="L41" i="7"/>
  <c r="B40" i="7"/>
  <c r="Q35" i="7"/>
  <c r="G34" i="7"/>
  <c r="H31" i="7"/>
  <c r="C30" i="7"/>
  <c r="L20" i="7"/>
  <c r="M13" i="7" s="1"/>
  <c r="M34" i="7" s="1"/>
  <c r="B19" i="7"/>
  <c r="C18" i="7"/>
  <c r="C39" i="7" s="1"/>
  <c r="C17" i="7"/>
  <c r="C38" i="7" s="1"/>
  <c r="C16" i="7"/>
  <c r="C37" i="7" s="1"/>
  <c r="M15" i="7"/>
  <c r="M36" i="7" s="1"/>
  <c r="C15" i="7"/>
  <c r="C36" i="7" s="1"/>
  <c r="Q14" i="7"/>
  <c r="R13" i="7" s="1"/>
  <c r="R34" i="7" s="1"/>
  <c r="M14" i="7"/>
  <c r="M35" i="7" s="1"/>
  <c r="C14" i="7"/>
  <c r="C35" i="7" s="1"/>
  <c r="G13" i="7"/>
  <c r="H12" i="7" s="1"/>
  <c r="H33" i="7" s="1"/>
  <c r="C13" i="7"/>
  <c r="C34" i="7" s="1"/>
  <c r="C12" i="7"/>
  <c r="C33" i="7" s="1"/>
  <c r="C11" i="7"/>
  <c r="C32" i="7" s="1"/>
  <c r="M10" i="7"/>
  <c r="M31" i="7" s="1"/>
  <c r="H10" i="7"/>
  <c r="C10" i="7"/>
  <c r="C31" i="7" s="1"/>
  <c r="R9" i="7"/>
  <c r="R30" i="7" s="1"/>
  <c r="M9" i="7"/>
  <c r="H9" i="7"/>
  <c r="H30" i="7" s="1"/>
  <c r="C9" i="7"/>
  <c r="C19" i="7" s="1"/>
  <c r="C68" i="6"/>
  <c r="M18" i="6"/>
  <c r="D61" i="6" s="1"/>
  <c r="H13" i="6"/>
  <c r="I11" i="6" s="1"/>
  <c r="C18" i="6"/>
  <c r="D41" i="6" s="1"/>
  <c r="N17" i="6" l="1"/>
  <c r="N16" i="6"/>
  <c r="N15" i="6"/>
  <c r="N14" i="6"/>
  <c r="N13" i="6"/>
  <c r="N12" i="6"/>
  <c r="D54" i="6"/>
  <c r="N10" i="6"/>
  <c r="N11" i="6"/>
  <c r="D10" i="6"/>
  <c r="D17" i="6"/>
  <c r="D15" i="6"/>
  <c r="D13" i="6"/>
  <c r="D11" i="6"/>
  <c r="I10" i="6"/>
  <c r="D16" i="6"/>
  <c r="I12" i="6"/>
  <c r="D53" i="6"/>
  <c r="D14" i="6"/>
  <c r="D12" i="6"/>
  <c r="D43" i="6"/>
  <c r="C56" i="6"/>
  <c r="C49" i="6"/>
  <c r="M41" i="10"/>
  <c r="B25" i="10" s="1"/>
  <c r="C30" i="10"/>
  <c r="M12" i="10"/>
  <c r="M33" i="10" s="1"/>
  <c r="R9" i="10"/>
  <c r="R12" i="10"/>
  <c r="R33" i="10" s="1"/>
  <c r="C13" i="10"/>
  <c r="C34" i="10" s="1"/>
  <c r="R10" i="10"/>
  <c r="R31" i="10" s="1"/>
  <c r="M20" i="10"/>
  <c r="H13" i="10"/>
  <c r="R11" i="10"/>
  <c r="R32" i="10" s="1"/>
  <c r="C30" i="9"/>
  <c r="H30" i="9"/>
  <c r="H34" i="9" s="1"/>
  <c r="B24" i="9" s="1"/>
  <c r="M30" i="9"/>
  <c r="M41" i="9" s="1"/>
  <c r="B25" i="9" s="1"/>
  <c r="R12" i="9"/>
  <c r="R33" i="9" s="1"/>
  <c r="C13" i="9"/>
  <c r="C34" i="9" s="1"/>
  <c r="R10" i="9"/>
  <c r="R31" i="9" s="1"/>
  <c r="R35" i="9" s="1"/>
  <c r="B26" i="9" s="1"/>
  <c r="R11" i="9"/>
  <c r="R32" i="9" s="1"/>
  <c r="C40" i="7"/>
  <c r="B23" i="7" s="1"/>
  <c r="R10" i="7"/>
  <c r="R31" i="7" s="1"/>
  <c r="R35" i="7" s="1"/>
  <c r="B26" i="7" s="1"/>
  <c r="M16" i="7"/>
  <c r="M37" i="7" s="1"/>
  <c r="H11" i="7"/>
  <c r="H32" i="7" s="1"/>
  <c r="H34" i="7" s="1"/>
  <c r="B24" i="7" s="1"/>
  <c r="M11" i="7"/>
  <c r="M32" i="7" s="1"/>
  <c r="M17" i="7"/>
  <c r="M38" i="7" s="1"/>
  <c r="R11" i="7"/>
  <c r="R32" i="7" s="1"/>
  <c r="M18" i="7"/>
  <c r="M39" i="7" s="1"/>
  <c r="M12" i="7"/>
  <c r="M33" i="7" s="1"/>
  <c r="R12" i="7"/>
  <c r="R33" i="7" s="1"/>
  <c r="M19" i="7"/>
  <c r="M40" i="7" s="1"/>
  <c r="H13" i="7"/>
  <c r="M30" i="7"/>
  <c r="M41" i="7" s="1"/>
  <c r="B25" i="7" s="1"/>
  <c r="D80" i="6" l="1"/>
  <c r="S18" i="6"/>
  <c r="B37" i="6"/>
  <c r="D68" i="6"/>
  <c r="B36" i="6" s="1"/>
  <c r="D49" i="6"/>
  <c r="B34" i="6" s="1"/>
  <c r="C40" i="10"/>
  <c r="B23" i="10" s="1"/>
  <c r="R30" i="10"/>
  <c r="R35" i="10" s="1"/>
  <c r="B26" i="10" s="1"/>
  <c r="R14" i="10"/>
  <c r="C19" i="10"/>
  <c r="C40" i="9"/>
  <c r="B23" i="9" s="1"/>
  <c r="B27" i="9" s="1"/>
  <c r="R14" i="9"/>
  <c r="C19" i="9"/>
  <c r="R14" i="7"/>
  <c r="B27" i="7"/>
  <c r="M20" i="7"/>
  <c r="I13" i="6"/>
  <c r="D56" i="6"/>
  <c r="B35" i="6" s="1"/>
  <c r="N18" i="6"/>
  <c r="D18" i="6"/>
  <c r="B38" i="6" l="1"/>
  <c r="B27" i="10"/>
</calcChain>
</file>

<file path=xl/sharedStrings.xml><?xml version="1.0" encoding="utf-8"?>
<sst xmlns="http://schemas.openxmlformats.org/spreadsheetml/2006/main" count="1800" uniqueCount="605">
  <si>
    <t>Program</t>
  </si>
  <si>
    <t>Kegiatan</t>
  </si>
  <si>
    <t>KRO</t>
  </si>
  <si>
    <t>RO</t>
  </si>
  <si>
    <t>Satuan RO</t>
  </si>
  <si>
    <t>Komponen</t>
  </si>
  <si>
    <t>FC Ketahanan Sumber Daya Air</t>
  </si>
  <si>
    <t>7686 Pengendalian Lumpur Sidoarjo</t>
  </si>
  <si>
    <t>7686.BAH Pelayanan Publik Lainnya</t>
  </si>
  <si>
    <t>Layanan</t>
  </si>
  <si>
    <t>Dokumen</t>
  </si>
  <si>
    <t>7686.BAH.001 Layanan Pelaksanaan Teknis Bidang Pengendalian Lumpur Sidoarjo</t>
  </si>
  <si>
    <t>7686.BAH.002 Layanan Teknis Pendukung Bidang Pengendalian Lumpur Sidoarjo</t>
  </si>
  <si>
    <t>7686.CBH Prasarana Bidang Penanggulangan Bencana</t>
  </si>
  <si>
    <t>Unit</t>
  </si>
  <si>
    <t>7686.CBH.001 Prasarana Kawasan Sekitar Tampungan Lumpur Sidoarjo</t>
  </si>
  <si>
    <t>7686.CBR Dukungan Teknis</t>
  </si>
  <si>
    <t>7686.CBR.001 Dokumen Teknis Bidang Pengendalian Lumpur Sidoarjo</t>
  </si>
  <si>
    <t>7686.CBS Prasarana Jaringan Sumber Daya Air</t>
  </si>
  <si>
    <t>Km</t>
  </si>
  <si>
    <t>7686.CBS.001 Tanggul Penahan Lumpur Sidoarjo</t>
  </si>
  <si>
    <t>7686.CBS.002 Jaringan Infrastruktur Pengendali Lumpur Sidoarjo</t>
  </si>
  <si>
    <t>7686.CDH OP Prasarana Penanggulangan Bencana</t>
  </si>
  <si>
    <t>7686.CDH.001 Layanan Operasi dan Pemeliharaan Prasarana Pengendali Lumpur Sidoarjo</t>
  </si>
  <si>
    <t>7686.CDR OP Prasarana Jaringan Sumber Daya Air</t>
  </si>
  <si>
    <t>7686.CDR.001 Layanan Operasi dan Pemeliharaan Prasarana Pengendali Lumpur Sidoarjo</t>
  </si>
  <si>
    <t>7687 Layanan Kesekretariatan Dewan Sumber Daya Air Nasional (DSDAN)</t>
  </si>
  <si>
    <t>7687.ABF Kebijakan Bidang Sarana dan Prasarana</t>
  </si>
  <si>
    <t>Rekomendasi Kebijakan</t>
  </si>
  <si>
    <t>7687.ABF.001 Rekomendasi terhadap Kebijakan Pengelolaan SDA Nasional</t>
  </si>
  <si>
    <t>7687.BAH Pelayanan Publik Lainnya</t>
  </si>
  <si>
    <t>7687.BAH.001 Layanan Pendukung Kegiatan Kesekretariatan Dewan Sumber Daya Air Nasional (DSDAN)</t>
  </si>
  <si>
    <t>7688 Perencanaan, Pemrograman, Penganggaran, dan Evaluasi</t>
  </si>
  <si>
    <t>7688.ABF Kebijakan Bidang Sarana dan Prasarana</t>
  </si>
  <si>
    <t>7688.ABF.001 Rekomendasi Kebijakan Pelaksanaan Upaya Pengelolaan SDA WS Kewenangan Pusat</t>
  </si>
  <si>
    <t>7688.ABF.010 Pola dan Rencana Pengelolaan Sumber Daya Air Wilayah Sungai</t>
  </si>
  <si>
    <t>7688.BAH Pelayanan Publik Lainnya</t>
  </si>
  <si>
    <t>7688.BAH.001 Layanan Teknis Sistem dan Strategi Pengelolaan SDA</t>
  </si>
  <si>
    <t>7688.CBR Dukungan Teknis</t>
  </si>
  <si>
    <t>7688.CBR.001 Bidang Tanah untuk Infrastruktur Sumber Daya Air</t>
  </si>
  <si>
    <t>7688.CBR.002 Fasilitasi Unit Manajemen atau Pelaksanaan Proyek (PMU/PIU)</t>
  </si>
  <si>
    <t>7688.CBR.003 Dokumen Pelaksanaan Sistem dan Strategi Pengelolaan Sumber Daya Air</t>
  </si>
  <si>
    <t>7689 Kepatuhan Intern Direktorat Jenderal Sumber Daya Air</t>
  </si>
  <si>
    <t>7689.BAH Pelayanan Publik Lainnya</t>
  </si>
  <si>
    <t>7689.BAH.001 Layanan Teknis Kepatuhan Intern dan Manajemen Risiko UPT</t>
  </si>
  <si>
    <t>7689.BAH.002 Zona Integritas</t>
  </si>
  <si>
    <t>7689.BAH.003 Layanan Pembinaan Teknis Kepatuhan Intern dan Manajemen Risiko</t>
  </si>
  <si>
    <t>7690 Layanan Teknis SDA</t>
  </si>
  <si>
    <t>7690.BAH Pelayanan Publik Lainnya</t>
  </si>
  <si>
    <t>7690.BAH.001 Layanan Teknis Sumber Daya Air</t>
  </si>
  <si>
    <t>7690.BAH.002 Layanan Unit Kaji Cepat</t>
  </si>
  <si>
    <t>7690.BAH.003 Layanan Teknis Pelaksanaan Pengelolaan Sumber Daya Air</t>
  </si>
  <si>
    <t>7690.BAH.004 Layanan Teknis Pendukung Kegiatan Pengelolaan Sumber Daya Air</t>
  </si>
  <si>
    <t>7690.BMA Data dan Informasi Publik</t>
  </si>
  <si>
    <t>7690.BMA.001 Sistem Informasi SDA</t>
  </si>
  <si>
    <t>7690.BMA.002 Sistem Informasi Hidrologi dan Kualitas Air</t>
  </si>
  <si>
    <t>7690.CAN Sarana Bidang Teknologi Informasi dan Komunikasi</t>
  </si>
  <si>
    <t>7690.CAN.001 Sistem Data dan Informasi SDA</t>
  </si>
  <si>
    <t>7690.CAN.002 Pos Hidrologi</t>
  </si>
  <si>
    <t>7690.CBR Dukungan Teknis</t>
  </si>
  <si>
    <t>7690.CBR.002 Dokumen Pengembangan, Perekayasaan, dan Penerapan Teknologi</t>
  </si>
  <si>
    <t>7690.CBR.005 Dokumen Perhitungan Indeks Ketahanan Air Nasional</t>
  </si>
  <si>
    <t>7690.CBR.006 Dokumen Neraca Air Wilayah Sungai</t>
  </si>
  <si>
    <t>7690.CBR.007 Fasilitasi Unit Manajemen atau Pelaksanaan Proyek (PMU/PIU)</t>
  </si>
  <si>
    <t>7690.CBR.008 Dokumen Perhitungan Indeks Ketahanan Air Wilayah Sungai</t>
  </si>
  <si>
    <t>7690.CBR.009 Dokumen Neraca Air Nasional</t>
  </si>
  <si>
    <t>7691 Pengembangan dan Rehabilitasi Jaringan Irigasi Permukaan, Rawa, dan Non-Padi</t>
  </si>
  <si>
    <t>7691.BAH Pelayanan Publik Lainnya</t>
  </si>
  <si>
    <t>7691.BAH.001 Layanan Teknis Bidang Irigasi dan Rawa</t>
  </si>
  <si>
    <t>7691.BAH.002 Layanan Teknis Pendukung Bidang Irigasi dan Rawa</t>
  </si>
  <si>
    <t>7691.CBG Prasarana Bidang SDA dan Irigasi</t>
  </si>
  <si>
    <t>7691.CBG.001 Bendung Irigasi</t>
  </si>
  <si>
    <t>7691.CBG.003 Bangunan Air Irigasi</t>
  </si>
  <si>
    <t>7691.CBR Dukungan Teknis</t>
  </si>
  <si>
    <t>7691.CBR.001 Dokumen Teknis Bidang Irigasi dan Rawa</t>
  </si>
  <si>
    <t>7691.CBR.002 Fasilitasi Unit Manajemen atau Pelaksanaan Proyek (PMU/PIU)</t>
  </si>
  <si>
    <t>7691.CBR.003 Unit Desain</t>
  </si>
  <si>
    <t>7691.CBS Prasarana Jaringan Sumber Daya Air</t>
  </si>
  <si>
    <t>7691.CBS.001 Jaringan Irigasi untuk Komoditas Non Padi dan Tambak</t>
  </si>
  <si>
    <t>7691.CBS.002 Jaringan Irigasi di Sentra Produksi Lumbung Pangan</t>
  </si>
  <si>
    <t>7691.RBG Prasarana Bidang SDA dan Irigasi</t>
  </si>
  <si>
    <t>7691.RBG.002 Bangunan Irigasi Kewenangan Pemerintah Daerah</t>
  </si>
  <si>
    <t>7691.RBG.004 Bendung Irigasi</t>
  </si>
  <si>
    <t>7691.RBS Prasarana Jaringan Sumber Daya Air</t>
  </si>
  <si>
    <t>7691.RBS.001 Jaringan Irigasi Waduk</t>
  </si>
  <si>
    <t>7691.RBS.003 Jaringan Irigasi di Sentra Produksi Lumbung Pangan</t>
  </si>
  <si>
    <t>7691.RBS.005 Jaringan Irigasi Kewenangan Pemerintah Daerah</t>
  </si>
  <si>
    <t>7692 Pengendalian Banjir, Lahar, Pengelolaan Drainase Utama Perkotaan, dan Pengaman Pantai</t>
  </si>
  <si>
    <t>7692.BAH Pelayanan Publik Lainnya</t>
  </si>
  <si>
    <t>7692.BAH.001 Layanan Teknis Pelaksanaan Bidang Sungai dan Pantai</t>
  </si>
  <si>
    <t>7692.BAH.002 Layanan Teknis Pendukung Kegiatan Bidang Sungai dan Pantai</t>
  </si>
  <si>
    <t>7692.CBH Prasarana Bidang Penanggulangan Bencana</t>
  </si>
  <si>
    <t>7692.CBH.001 Prasarana Pengendali Lahar/Sedimen</t>
  </si>
  <si>
    <t>7692.CBH.002 Prasarana Pengendalian Banjir di Kawasan Strategis Ekonomi, Kawasan Perkotaan, 3T, dan Daerah Berisiko Tinggi dari Daya Rusak Air</t>
  </si>
  <si>
    <t>7692.CBR Dukungan Teknis</t>
  </si>
  <si>
    <t>7692.CBR.001 Dokumen Teknis Bidang Sungai dan Pantai</t>
  </si>
  <si>
    <t>7692.CBR.002 Fasilitasi Unit Manajemen atau Pelaksanaan Proyek (PMU/PIU)</t>
  </si>
  <si>
    <t>7692.CBR.003 Unit Desain</t>
  </si>
  <si>
    <t>7692.CBS Prasarana Jaringan Sumber Daya Air</t>
  </si>
  <si>
    <t>7692.CBS.001 Prasarana Pengendalian Banjir di Kawasan Strategis Ekonomi, Kawasan Perkotaan, 3T, dan Daerah Berisiko Tinggi dari Daya Rusak Air</t>
  </si>
  <si>
    <t>7692.CBS.003 Prasarana Perlindungan Abrasi Kawasan Pesisir Perkotaan, Strategis Ekonomi, dan Kawasan Berisiko Abrasi Tinggi</t>
  </si>
  <si>
    <t>7692.CBS.004 Prasarana Perlindungan Pantai Kawasan 3T</t>
  </si>
  <si>
    <t>7692.RBH Prasarana Bidang Penanggulangan Bencana</t>
  </si>
  <si>
    <t>7692.RBH.001 Prasarana Pengendalian Banjir di Kawasan Metropolitan Strategis</t>
  </si>
  <si>
    <t>7692.RBH.003 Prasarana Pengendali Risiko Daya Rusak Air di Perkotaan Pesisir Utara Jawa</t>
  </si>
  <si>
    <t>7692.RBH.004 Prasarana Pengendalian Lahar/Sedimen di Kawasan Strategis Ekonomi, Kawasan Perkotaan, 3T, dan Daerah Berisiko Tinggi</t>
  </si>
  <si>
    <t>7692.RBS Prasarana Jaringan Sumber Daya Air</t>
  </si>
  <si>
    <t>7692.RBS.001 Prasarana Pengendalian Banjir di Kawasan Metropolitan Strategis</t>
  </si>
  <si>
    <t>7692.RBS.002 Prasarana Jaringan Pengendali Risiko Daya Rusak Air di Perkotaan Pesisir Utara Jawa</t>
  </si>
  <si>
    <t>7692.RBS.003 Prasarana Pengendalian Banjir di Kawasan Strategis Ekonomi, Kawasan Perkotaan, 3T, dan Daerah Berisiko Tinggi dari Daya Rusak Air</t>
  </si>
  <si>
    <t>7692.RBS.004 Prasarana Perlindungan Abrasi Kawasan Pesisir Perkotaan, Strategis Ekonomi, 3T, dan Kawasan Berisiko Abrasi Tinggi</t>
  </si>
  <si>
    <t>7693 Pengembangan Bendungan, Danau, dan Bangunan Penampung Air Lainnya</t>
  </si>
  <si>
    <t>7693.BAH Pelayanan Publik Lainnya</t>
  </si>
  <si>
    <t>7693.BAH.001 Layanan Teknis Bidang Bendungan</t>
  </si>
  <si>
    <t>7693.BAH.002 Layanan Teknis Pelaksanaan Bidang Bendungan dan Danau</t>
  </si>
  <si>
    <t>7693.BAH.003 Layanan Teknis Pendukung Kegiatan Bidang Bendungan dan Danau</t>
  </si>
  <si>
    <t>7693.CBG Prasarana Bidang SDA dan Irigasi</t>
  </si>
  <si>
    <t>7693.CBG.001 Bendungan untuk Swasembada Air, Pangan, dan Energi</t>
  </si>
  <si>
    <t>7693.CBG.005 Danau, Situ, dan Tampungan Air Alami</t>
  </si>
  <si>
    <t>7693.CBR Dukungan Teknis</t>
  </si>
  <si>
    <t>7693.CBR.001 Dokumen Teknis Bidang Bendungan dan Danau</t>
  </si>
  <si>
    <t>7693.CBR.004 Fasilitasi Unit Manajemen atau Pelaksanaan Proyek (PMU/PIU)</t>
  </si>
  <si>
    <t>7693.CBR.005 Unit Desain</t>
  </si>
  <si>
    <t>7693.RBG Prasarana Bidang SDA dan Irigasi</t>
  </si>
  <si>
    <t>7693.RBG.004 Bendungan Cibeet</t>
  </si>
  <si>
    <t>7693.RBG.702 Danau Ranau</t>
  </si>
  <si>
    <t>7694 Pengembangan Jaringan Air Tanah dan Air Baku</t>
  </si>
  <si>
    <t>7694.BAH Pelayanan Publik Lainnya</t>
  </si>
  <si>
    <t>7694.BAH.001 Layanan Teknis Pelaksanaan Bidang Air Tanah dan Air Baku</t>
  </si>
  <si>
    <t>7694.BAH.002 Layanan Teknis Pendukung Kegiatan Bidang Air Tanah dan Air Baku</t>
  </si>
  <si>
    <t>7694.CBG Prasarana Bidang SDA dan Irigasi</t>
  </si>
  <si>
    <t>7694.CBG.001 Embung dan Tampungan Air Lainnya pada Kawasan Metropolitan, Kawasan Perkotaan dan Kawasan Strategis</t>
  </si>
  <si>
    <t>7694.CBG.002 Embung dan Tampungan Air Lainnya pada Kawasan Sulit Air, Bencana Kekeringan, dan Terpencil (3T)</t>
  </si>
  <si>
    <t>7694.CBG.005 Sumur Air Tanah pada Kawasan Metropolitan, Kawasan Perkotaan, dan Kawasan Strategis</t>
  </si>
  <si>
    <t>7694.CBG.006 Sumur Air Tanah pada Kawasan Sulit Air, Bencana Kekeringan, dan Terpencil (3T)</t>
  </si>
  <si>
    <t>7694.CBR Dukungan Teknis</t>
  </si>
  <si>
    <t>7694.CBR.001 Dukungan Teknis Bidang Air Tanah dan Air Baku</t>
  </si>
  <si>
    <t>7694.CBR.003 Fasilitasi Unit Manajemen atau Pelaksanaan Proyek (PMU/PIU)</t>
  </si>
  <si>
    <t>7694.CBR.004 Unit Desain</t>
  </si>
  <si>
    <t>7694.CBS Prasarana Jaringan Sumber Daya Air</t>
  </si>
  <si>
    <t>7694.CBS.001 Prasarana Air Baku Kawasan Metropolitan, Kawasan Perkotaan, dan Kawasan Strategis</t>
  </si>
  <si>
    <t>7694.CBS.002 Prasarana Air Baku Kawasan Sulit Air, Bencana Kekeringan, dan Kawasan Terpencil (3T)</t>
  </si>
  <si>
    <t>7694.CBS.005 JIAT untuk Mendukung Swasembada Pangan</t>
  </si>
  <si>
    <t>7694.CBS.006 JIAT untuk Mendukung Kawasan Sentra Produksi Pangan</t>
  </si>
  <si>
    <t>7694.RBG Prasarana Bidang SDA dan Irigasi</t>
  </si>
  <si>
    <t>7694.RBG.002 Prasarana Air Baku Mendukung Irigasi Kewenangan Pemerintah Daerah</t>
  </si>
  <si>
    <t>7694.RBG.004 Embung dan Tampungan Air Lainnya Mendukung Swasembada Air</t>
  </si>
  <si>
    <t>7694.RBG.005 Sumur Air Tanah Mendukung Swasembada Air</t>
  </si>
  <si>
    <t>7694.RBS Prasarana Jaringan Sumber Daya Air</t>
  </si>
  <si>
    <t>7694.RBS.001 Prasarana Penyediaan Air Baku Bersumber dari Bendungan</t>
  </si>
  <si>
    <t>7694.RBS.003 Prasarana Air Baku di Kawasan Sentra Produksi Pangan</t>
  </si>
  <si>
    <t>7694.RBS.004 Prasarana Penyediaan Air Baku di Perkotaan Pesisir Utara Jawa</t>
  </si>
  <si>
    <t>7694.RBS.005 Prasarana Air Baku Kawasan Metropolitan, Kawasan Perkotaan, dan Kawasan Strategis</t>
  </si>
  <si>
    <t>7694.RBS.006 Jaringan Irigasi Air Tanah Mendukung Irigasi Kewenangan Pemerintah Daerah</t>
  </si>
  <si>
    <t>7695 Operasi dan Pemeliharaan Sarana Prasarana SDA serta Penanggulangan Darurat Akibat Bencana</t>
  </si>
  <si>
    <t>7695.AEA Koordinasi</t>
  </si>
  <si>
    <t>7695.AEA.001 Koordinasi TKPSDA WS Kewenangan Pusat dan Lembaga Lainnya</t>
  </si>
  <si>
    <t>7695.BAH Pelayanan Publik Lainnya</t>
  </si>
  <si>
    <t>7695.BAH.001 Layanan Perizinan Pengusahaan Sumber Daya Air</t>
  </si>
  <si>
    <t>7695.BAH.002 Layanan Biaya Jasa Pengelolaan Sumber Daya Air (BJPSDA)</t>
  </si>
  <si>
    <t>7695.BAH.003 Layanan Pemantauan Sumber Daya Air</t>
  </si>
  <si>
    <t>7695.BAH.004 Layanan Teknis Pelaksanaan Bidang Operasi dan Pemeliharaan</t>
  </si>
  <si>
    <t>7695.BAH.005 Layanan Teknis Pendukung Kegiatan Bidang Operasi dan Pemeliharaan</t>
  </si>
  <si>
    <t>7695.BDD Fasilitasi dan Pembinaan Kelompok Masyarakat</t>
  </si>
  <si>
    <t>Kelompok Masyarakat</t>
  </si>
  <si>
    <t>7695.BDD.001 Fasilitasi dan Pembinaan Kelompok Masyarakat Peduli Sungai</t>
  </si>
  <si>
    <t>7695.BDD.002 Fasilitasi dan Pembinaan Kelompok Masyarakat Peduli Tampungan Air</t>
  </si>
  <si>
    <t>7695.BDD.003 Fasilitasi Gerakan Nasional Kemitraan Penyelamatan Air (GNKPA)</t>
  </si>
  <si>
    <t>7695.BHC Operasi Bidang Penanggulangan Bencana</t>
  </si>
  <si>
    <t>Operasi</t>
  </si>
  <si>
    <t>7695.BHC.001 Operasi Tanggap Darurat Bencana</t>
  </si>
  <si>
    <t>7695.BHC.002 Operasi Monitoring Bencana</t>
  </si>
  <si>
    <t>7695.BHC.003 Operasi Penyediaan Bahan Persediaan Bencana</t>
  </si>
  <si>
    <t>7695.BHC.004 Operasi Modifikasi Cuaca</t>
  </si>
  <si>
    <t>7695.BHC.005 Operasi Tanggap Darurat Bencana UPT</t>
  </si>
  <si>
    <t>7695.BHD Operasi Pengawasan Sumber Daya Alam</t>
  </si>
  <si>
    <t>7695.BHD.001 Operasi Unit Pengelola Infrastruktur Sumber Daya Air</t>
  </si>
  <si>
    <t>7695.CAP Sarana Bidang Penanggulangan Bencana</t>
  </si>
  <si>
    <t>7695.CAP.001 Alat Berat Operasi dan Pemeliharaan Bidang Sumber Daya Air</t>
  </si>
  <si>
    <t>7695.CBR Dukungan Teknis</t>
  </si>
  <si>
    <t>7695.CBR.001 Dokumen Rekomendasi Teknis Perizinan</t>
  </si>
  <si>
    <t>7695.CBR.002 Dokumen RBO Benchmarking</t>
  </si>
  <si>
    <t>7695.CBR.003 Dokumen Alokasi air</t>
  </si>
  <si>
    <t>7695.CBR.004 Dokumen Perhitungan Pasokan Air untuk Irigasi</t>
  </si>
  <si>
    <t>7695.CBR.006 Dokumen Teknis Bidang OP</t>
  </si>
  <si>
    <t>7695.CCM OP Sarana Bidang Penanggulangan Bencana</t>
  </si>
  <si>
    <t>7695.CCM.001 Layanan Operasi dan Pemeliharaan Sarana Alat Berat</t>
  </si>
  <si>
    <t>7695.CDG OP Prasarana Jaringan Sumber Daya Air</t>
  </si>
  <si>
    <t>7695.CDG.001 Layanan Operasi dan Pemeliharaan Bendungan</t>
  </si>
  <si>
    <t>7695.CDG.002 Layanan Operasi dan Pemeliharaan Embung dan Mata Air</t>
  </si>
  <si>
    <t>7695.CDG.004 Layanan Pemeliharaan Danau</t>
  </si>
  <si>
    <t>7695.CDG.005 Layanan Pemeliharaan Situ</t>
  </si>
  <si>
    <t>7695.CDG.006 Layanan Pemeliharaan Sungai</t>
  </si>
  <si>
    <t>7695.CDG.008 Layanan Penetapan Sempadan</t>
  </si>
  <si>
    <t>7695.CDG.010 Layanan Operasi dan Pemeliharaan Prasarana Air Baku</t>
  </si>
  <si>
    <t>7695.CDG.011 Layanan Operasi dan Pemeliharaan Sumur Air Tanah untuk Air Baku</t>
  </si>
  <si>
    <t>7695.CDG.016 Layanan Operasi dan Pemeliharaan Bendung Irigasi</t>
  </si>
  <si>
    <t>7695.CDG.017 Layanan Operasi dan Pemeliharaan Sumur JIAT</t>
  </si>
  <si>
    <t>7695.CDH OP Prasarana Penanggulangan Bencana</t>
  </si>
  <si>
    <t>7695.CDH.001 Layanan Operasi dan Pemeliharaan Prasarana Pengendali Lahar/Sedimen</t>
  </si>
  <si>
    <t>7695.CDH.002 Layanan Operasi dan Pemeliharaan Prasarana Pengendali Banjir</t>
  </si>
  <si>
    <t>7695.CDR OP Prasarana Jaringan Sumber Daya Air</t>
  </si>
  <si>
    <t>7695.CDR.001 Layanan Operasi dan Pemeliharaan Prasarana Jaringan Irigasi</t>
  </si>
  <si>
    <t>7695.CDR.002 Layanan Operasi dan Pemeliharaan Prasarana Pengendali Banjir</t>
  </si>
  <si>
    <t>7695.CDR.003 Layanan Pemeliharaan Prasarana Pengaman Pantai</t>
  </si>
  <si>
    <t>7695.CDR.006 Layanan Operasi dan Pemeliharaan Prasarana Air Baku</t>
  </si>
  <si>
    <t>7695.CDR.007 Layanan Operasi dan Pemeliharaan Prasarana JIAT</t>
  </si>
  <si>
    <t>7695.CDR.008 Layanan Operasi dan Pemeliharaan Prasarana Jaringan Irigasi Tersier dan Kuarter</t>
  </si>
  <si>
    <t>7695.RDG OP Prasarana Bidang SDA dan Irigasi</t>
  </si>
  <si>
    <t>7695.RDG.001 Prasarana Irigasi Melalui Padat Karya</t>
  </si>
  <si>
    <t>WA Dukungan Manajemen</t>
  </si>
  <si>
    <t>7755 Dukungan Manajemen Ditjen Sumber Daya Air</t>
  </si>
  <si>
    <t>7755.EBA Layanan Dukungan Manajemen Internal</t>
  </si>
  <si>
    <t>7755.EBA.962 Layanan Umum</t>
  </si>
  <si>
    <t>7755.EBA.994 Layanan Perkantoran</t>
  </si>
  <si>
    <t>7755.EBA.Z01 Layanan Hukum</t>
  </si>
  <si>
    <t>7755.EBA.Z02 Layanan Hubungan Masyarakat dan Informasi pada Tingkat K/L</t>
  </si>
  <si>
    <t>7755.EBA.Z03 Layanan Hubungan Masyarakat dan Informasi pada Satker Vertikal</t>
  </si>
  <si>
    <t>7755.EBA.Z04 Layanan Bantuan Hukum Pegawai</t>
  </si>
  <si>
    <t>7755.EBA.Z05 Layanan Bantuan Hukum Instansi</t>
  </si>
  <si>
    <t>7755.EBA.Z06 Layanan BMN pada Tingkat K/L</t>
  </si>
  <si>
    <t>7755.EBA.Z07 Layanan BMN pada Satker Vertikal</t>
  </si>
  <si>
    <t>7755.EBA.Z08 Layanan Organisasi dan Tata Kelola Internal</t>
  </si>
  <si>
    <t>7755.EBB Layanan Sarana dan Prasarana Internal</t>
  </si>
  <si>
    <t>7755.EBB.951 Layanan Sarana Internal</t>
  </si>
  <si>
    <t>7755.EBB.971 Layanan Prasarana Internal</t>
  </si>
  <si>
    <t>7755.EBC Layanan Manajemen SDM Internal</t>
  </si>
  <si>
    <t>7755.EBC.Z11 Layanan Manajemen SDM Lingkup kementerian/lembaga yang memiliki satker vertikal/ memiliki UPT di daerah Kategori Besar</t>
  </si>
  <si>
    <t>7755.EBD Layanan Manajemen Kinerja Internal</t>
  </si>
  <si>
    <t>7755.EBD.Z26 Layanan Manajemen Keuangan pada Tingkat K/L</t>
  </si>
  <si>
    <t>7755.EBD.Z27 Layanan Manajemen Keuangan pada Satker Vertikal</t>
  </si>
  <si>
    <t>7755.EBD.Z33 Layanan Penyelenggaraan Kearsipan pada Tingkat K/L</t>
  </si>
  <si>
    <t>7755.EBD.Z34 Layanan Penyelenggaraan Kearsipan pada Satker Vertikal</t>
  </si>
  <si>
    <t>303; 304;</t>
  </si>
  <si>
    <t>300 Penyusunan NSPK</t>
  </si>
  <si>
    <t>311 Bimbingan/Pembinaan Teknis</t>
  </si>
  <si>
    <t>319 Monitoring, Evaluasi, dan Pelaporan</t>
  </si>
  <si>
    <t>302 Penyusunan Dokumen Perencanaan</t>
  </si>
  <si>
    <t>303 Penyusunan Dokumen Kinerja</t>
  </si>
  <si>
    <t>304 Penyusunan Dokumen KIMR</t>
  </si>
  <si>
    <t>100 Pengawasan/Supervisi Konstruksi</t>
  </si>
  <si>
    <t>102 Persiapan Operasi dan Pemeliharaan</t>
  </si>
  <si>
    <t>108 Konstruksi Prasarana Pendukung</t>
  </si>
  <si>
    <t>109 Konstruksi Penataan Kawasan</t>
  </si>
  <si>
    <t>301 Penyusunan Dokumen Teknis</t>
  </si>
  <si>
    <t>308 Pelaksanaan Layanan Teknis</t>
  </si>
  <si>
    <t>104 Konstruksi Pembangunan Lanjutan/On-Going</t>
  </si>
  <si>
    <t>106 Konstruksi Peningkatan</t>
  </si>
  <si>
    <t>107 Pemasangan Peralatan/Instrumen</t>
  </si>
  <si>
    <t>105 Konstruksi Rehabilitasi</t>
  </si>
  <si>
    <t>101 Pembayaran Eskalasi dan Tunggakan</t>
  </si>
  <si>
    <t>103 Konstruksi Pembangunan Baru</t>
  </si>
  <si>
    <t>200 Operasi Rutin</t>
  </si>
  <si>
    <t>201 Pemeliharaan Rutin</t>
  </si>
  <si>
    <t>202 Pemeliharaan Berkala</t>
  </si>
  <si>
    <t>214 Pengaliran Lumpur</t>
  </si>
  <si>
    <t>204 Penyusunan Dokumen OP</t>
  </si>
  <si>
    <t>305 Koordinasi Antar-lembaga</t>
  </si>
  <si>
    <t>309 Pelaksanaan layanan Informasi, Data, dan Publikasi</t>
  </si>
  <si>
    <t>312 Fasilitasi Bantuan, Jasa profesi, dan Pendampingan</t>
  </si>
  <si>
    <t>318 Pengembangan dan Pengadaan Sistem Informasi (Software)</t>
  </si>
  <si>
    <t>110 Persiapan Pengadaan Tanah</t>
  </si>
  <si>
    <t>111 Pelaksanaan Pengadaan Tanah</t>
  </si>
  <si>
    <t>315 Pemasangan Peralatan/Instrumen dan Sistem Informasi (Hardware)</t>
  </si>
  <si>
    <t>PN</t>
  </si>
  <si>
    <t>PP</t>
  </si>
  <si>
    <t>KP</t>
  </si>
  <si>
    <t>RPJMN</t>
  </si>
  <si>
    <t>02 Memantapkan Sistem Pertahanan Keamanan Negara dan Mendorong Kemandirian Bangsa melalui Swasembada Pangan, Energi, Air, Ekonomi Syariah, Ekonomi Digital, Ekonomi Hijau, dan Ekonomi Biru</t>
  </si>
  <si>
    <t>02.12 Swasembada Air</t>
  </si>
  <si>
    <t>02.12.01 Pembangunan dan Pengelolaan Tampungan Air</t>
  </si>
  <si>
    <t>02.12.02 Penyediaan Pasokan Air Berkelanjutan</t>
  </si>
  <si>
    <t>02.12.03 Pengelolaan Risiko Daya Rusak Air</t>
  </si>
  <si>
    <t>02.12.09</t>
  </si>
  <si>
    <t>Pengembangan Terpadu Pesisir Utara Jawa</t>
  </si>
  <si>
    <t>SP</t>
  </si>
  <si>
    <t>ISP</t>
  </si>
  <si>
    <t>Ketahanan Sumber Daya Air</t>
  </si>
  <si>
    <t>Terwujudnya pengelolaan sumber daya air berkelanjutan dan produktif untuk mendukung swasembada air nasional</t>
  </si>
  <si>
    <t>Kapasitas tampungan air</t>
  </si>
  <si>
    <t>Rasio kapasitas air baku terpasang terhadap kebutuhan penduduk</t>
  </si>
  <si>
    <t>Persentase luas baku sawah fungsional beririgasi</t>
  </si>
  <si>
    <t>Rasio luas layanan irigasi yang ketersediaan airnya dijamin oleh waduk</t>
  </si>
  <si>
    <t>Efisiensi pemanfaatan air irigasi</t>
  </si>
  <si>
    <t>Persentase luas kawasan prioritas yang dilindungi dari daya rusak air</t>
  </si>
  <si>
    <t>Tingkat kinerja layanan infrastruktur sumber daya air</t>
  </si>
  <si>
    <t>Persentase pemanfaatan air tanah untuk kebutuhan pertanian multikomoditas</t>
  </si>
  <si>
    <t>Persentase kondisi keandalan daerah irigasi</t>
  </si>
  <si>
    <t>Mentransformasi tata kelola pengelolaan sumber daya air terintegrasi</t>
  </si>
  <si>
    <t>Tingkat layanan perizinan berusaha penggunaan SDA, kelembagaan pengelolaan SDA, dan peran serta masyarakat</t>
  </si>
  <si>
    <t>Tingkat layanan administrasi dan teknis operasional Dewan SDA Nasional</t>
  </si>
  <si>
    <t>Tingkat Kepatuhan Intern Direktorat Jenderal Sumber Daya Air</t>
  </si>
  <si>
    <t>Tingkat keselarasan perencanaan dan pemrograman Direktorat Jenderal SDA</t>
  </si>
  <si>
    <t>Tingkat implementasi penyelenggaraan SAKIP Direktorat Jenderal SDA</t>
  </si>
  <si>
    <t>Tingkat layanan teknis sumber daya air</t>
  </si>
  <si>
    <t>Tingkat implementasi transformasi digital Direktorat Jenderal SDA</t>
  </si>
  <si>
    <t>Tingkat nilai indikator kinerja pelaksanaan anggaran Direktorat Jenderal SDA</t>
  </si>
  <si>
    <t>SK</t>
  </si>
  <si>
    <t>ISK</t>
  </si>
  <si>
    <t>7686 Pengendalian Lumpur Sidoarjo</t>
  </si>
  <si>
    <t>Meningkatnya ketahanan wilayah area yang terdampak lumpur Sidoarjo</t>
  </si>
  <si>
    <t>Jumlah volume luapan lumpur yang dialirkan ke Kali Porong</t>
  </si>
  <si>
    <t>Panjang infrastruktur pengendalian lumpur Sidoarjo yang dibangun/ditingkatkan</t>
  </si>
  <si>
    <t>Panjang jaringan infrastruktur pengendali dampak semburan yang dibangun/ditingkatkan</t>
  </si>
  <si>
    <t>Panjang jaringan infrastruktur pengendali dampak semburan yang dioperasi dan dipelihara</t>
  </si>
  <si>
    <t>Luas kawasan sekitar tampungan lumpur Sidoarjo yang ditata, dimanfaatkan, dan/atau dikelola</t>
  </si>
  <si>
    <t>Jumlah dukungan teknis bidang pengelolaan lumpur Sidoarjo</t>
  </si>
  <si>
    <t>Meningkatnya pembinaan untuk peningkatan ketahanan wilayah area yang terdampak lumpur Sidoarjo</t>
  </si>
  <si>
    <t>Tingkat kinerja layanan pembinaan pengendalian lumpur Sidoarjo</t>
  </si>
  <si>
    <t>Mentransformasi tata kelola pembinaan pengendalian lumpur Sidoarjo</t>
  </si>
  <si>
    <t>Tingkat Kepatuhan Intern Unit Kerja</t>
  </si>
  <si>
    <t>Tingkat nilai indikator kinerja pelaksanaan anggaran Unit Kerja</t>
  </si>
  <si>
    <t>Tingkat implementasi penyelenggaraan SAKIP Unit Kerja</t>
  </si>
  <si>
    <t>Tingkat implementasi transformasi digital Unit Kerja</t>
  </si>
  <si>
    <t>7687 Layanan Kesekretariatan Dewan Sumber Daya Air Nasional (DSDAN)</t>
  </si>
  <si>
    <t>Meningkatnya layanan kesekretariatan Dewan SDA Nasional (DSDAN)</t>
  </si>
  <si>
    <t>Jumlah layanan administrasi dan teknis operasional DSDAN</t>
  </si>
  <si>
    <t>Mentransformasi tata kelola Kesekretariatan Dewan Sumber Daya Air Nasional (DSDAN)</t>
  </si>
  <si>
    <t>Tingkat indikator kinerja pelaksanaan anggaran Unit Kerja</t>
  </si>
  <si>
    <t>7688 Perencanaan, Pemrograman, Penganggaran, dan Evaluasi</t>
  </si>
  <si>
    <t>Mentransformasi tata kelola sistem dan strategi pengelolaan SDA</t>
  </si>
  <si>
    <t>Tingkat fasilitasi program pengelolaan SDA jangka panjang</t>
  </si>
  <si>
    <t>Jumlah dokumen pola dan rencana yang ditetapkan/direvisi</t>
  </si>
  <si>
    <t>Tingkat implementasi RPSDA WS Kewenangan Pusat</t>
  </si>
  <si>
    <t>Tingkat pembinaan dan penyelarasan perencanaan, pemrograman, penganggaran bidang sumber daya Air</t>
  </si>
  <si>
    <t>Tingkat layanan kerja sama luar negeri yang efektif bidang sumber daya air</t>
  </si>
  <si>
    <t>Tingkat pelaksanaan program dan anggaran UPT di Direktorat Jenderal SDA</t>
  </si>
  <si>
    <t>Tingkat pembinaan pemantauan dan evaluasi</t>
  </si>
  <si>
    <t>Tingkat penyelenggaraan SAKIP pada Entitas di Direktorat Jenderal SDA</t>
  </si>
  <si>
    <t>Tingkat penyelenggaraan SAKIP pada Entitas di BBWS/BWS</t>
  </si>
  <si>
    <t>Tingkat pelaksanaan pemantauan dan evaluasi pada BBWS/BWS</t>
  </si>
  <si>
    <t>Meningkatnya layanan pengadaan tanah infrastruktur sumber daya air</t>
  </si>
  <si>
    <t>Tingkat layanan pembinaan pengadaan tanah infrastruktur sumber daya air</t>
  </si>
  <si>
    <t>Jumlah luas pengadaan tanah infrastruktur sumber daya air</t>
  </si>
  <si>
    <t>7689 Kepatuhan Internal Direktorat Jenderal Sumber Daya Air</t>
  </si>
  <si>
    <t>Meningkatnya maturitas kepatuhan intern</t>
  </si>
  <si>
    <t>Tingkat Pembinaan dan Pengembangan Kepatuhan Intern</t>
  </si>
  <si>
    <t>Tingkat Pengendalian Kepatuhan Intern</t>
  </si>
  <si>
    <t>Tingkat Pemantauan Kepatuhan Intern</t>
  </si>
  <si>
    <t>Tingkat Kepatuhan Intern UPT</t>
  </si>
  <si>
    <t>Tingkat Kepatuhan Intern Satuan Kerja</t>
  </si>
  <si>
    <t>Tingkat Indikator Kinerja Pelaksanaan Anggaran Unit Kerja</t>
  </si>
  <si>
    <t>Tingkat Implementasi Penyelenggaraan SAKIP Unit Kerja</t>
  </si>
  <si>
    <t>Tingkat Implementasi Transformasi Digital Unit Kerja</t>
  </si>
  <si>
    <t>7690 Layanan Teknis SDA</t>
  </si>
  <si>
    <t>Meningkatnya kesiapan teknis dalam rangka meningkatkan pasokan air berkelanjutan dan produktivitas air serta ketahanan metropolitan dan wilayah sungai terhadap potensi risiko daya rusak air</t>
  </si>
  <si>
    <t>Tingkat layanan sistem informasi sumber daya air (SISDA) Direktorat Jenderal Sumber Daya Air dan layanan hidrologi untuk sistem informasi hidrologi, hidroklimatologi, dan hidrogeologi (SIH3)</t>
  </si>
  <si>
    <t>Jumlah wilayah sungai dengan pengembangan sistem informasi sumber daya air</t>
  </si>
  <si>
    <t>Jumlah dokumen perhitungan nilai indeks ketahanan air wilayah sungai (IKtA-WS)</t>
  </si>
  <si>
    <t>Tingkat kesiapan teknis</t>
  </si>
  <si>
    <t>Jumlah dokumen perhitungan neraca air wilayah sungai</t>
  </si>
  <si>
    <t>Meningkatnya pembinaan kesiapan dan layanan teknis infrastruktur SDA dalam rangka meningkatkan pasokan air berkelanjutan dan produktivitas air serta ketahanan metropolitan dan wilayah sungai terhadap potensi risiko daya rusak air</t>
  </si>
  <si>
    <t>Tingkat layanan pengelolaan jabatan fungsional dan pengembangan profesi</t>
  </si>
  <si>
    <t>Tingkat pembinaan layanan teknis sumber daya air</t>
  </si>
  <si>
    <t>Tingkat pembinaan sistem informasi sumber daya air (SISDA) direktorat jenderal sumber daya air dan layanan hidrologi untuk sistem informasi hidrologi, hidroklimatologi, dan hidrogeologi (SIH3)</t>
  </si>
  <si>
    <t>Tingkat penerapan NSPK, teknologi dan peralatan infrastruktur sumber daya air</t>
  </si>
  <si>
    <t>Tingkat keandalan infrastruktur sumber daya air</t>
  </si>
  <si>
    <t>Jumlah wilayah sungai Kewenangan Pusat dengan neraca air tidak dalam kondisi kritis/defisit</t>
  </si>
  <si>
    <t>Tingkat pembinaan implementasi transformasi digital</t>
  </si>
  <si>
    <t>Meningkatnya layanan teknis infrastruktur SDA</t>
  </si>
  <si>
    <t>Persentase layanan teknis Balai Teknik/Balai</t>
  </si>
  <si>
    <t>Jumlah dokumen pengembangan, perekayasaan, dan penerapan teknologi Balai Teknik/Balai</t>
  </si>
  <si>
    <t>Indeks kepuasan masyarakat (IKM) terhadap layanan Balai</t>
  </si>
  <si>
    <t>Jumlah dokumen perhitungan indeks ketahanan air nasional (IKtA-N)</t>
  </si>
  <si>
    <t>Jumlah dokumen perhitungan neraca air nasional</t>
  </si>
  <si>
    <t>Mentransformasi tata kelola pembinaan layanan teknis SDA</t>
  </si>
  <si>
    <t>Tingkat indikator kinerja pelaksanaan anggaran Balai Teknik</t>
  </si>
  <si>
    <t>Tingkat implementasi penyelenggaraan SAKIP Balai Teknik</t>
  </si>
  <si>
    <t>Tingkat implementasi transformasi digital Balai Teknik</t>
  </si>
  <si>
    <t>7691 Pengembangan Jaringan Irigasi Permukaan, Rawa, dan Non-Padi</t>
  </si>
  <si>
    <t>Meningkatnya pasokan air irigasi berkelanjutan dan produktivitas penggunaan air irigasi</t>
  </si>
  <si>
    <t>Jumlah luas layanan irigasi yang ketersediaan airnya dijamin oleh waduk</t>
  </si>
  <si>
    <t>Jumlah luas layanan irigasi yang dibangun untuk pertanian multikomoditas</t>
  </si>
  <si>
    <t>Jumlah luas layanan irigasi yang direhabilitasi dan ditingkatkan</t>
  </si>
  <si>
    <t>Jumlah dukungan teknis bidang irigasi dan rawa</t>
  </si>
  <si>
    <t>Meningkatnya pembinaan layanan irigasi dalam rangka peningkatan pasokan air irigasi berkelanjutan dan produktivitas penggunaan air irigasi</t>
  </si>
  <si>
    <t>Tingkat kinerja layanan pembinaan irigasi dan rawa</t>
  </si>
  <si>
    <t>Mentransformasi tata kelola pembinaan irigasi dan rawa</t>
  </si>
  <si>
    <t>7692 Pengendalian Banjir, Lahar, Pengelolaan Drainase Utama Perkotaan, dan Pengaman Pantai</t>
  </si>
  <si>
    <t>Meningkatnya ketahanan metropolitan dan wilayah sungai terhadap potensi risiko daya rusak air</t>
  </si>
  <si>
    <t>Luas kawasan yang terlindungi dari risiko daya rusak air</t>
  </si>
  <si>
    <t>Kapasitas prasarana pengendali lahar dan sedimen</t>
  </si>
  <si>
    <t>Jumlah kawasan yang menerapkan pendekatan terpadu struktural dan non-struktural</t>
  </si>
  <si>
    <t>Jumlah dukungan teknis bidang sungai dan pantai</t>
  </si>
  <si>
    <t>Meningkatnya ketahanan terhadap risiko daya rusak air di Pesisir Utara Jawa</t>
  </si>
  <si>
    <t>Luas kawasan yang terlindungi dari risiko daya rusak air di Pesisir Utara Jawa</t>
  </si>
  <si>
    <t>Jumlah kawasan yang menerapkan pendekatan terpadu struktural dan non-struktural di Pesisir Utara Jawa</t>
  </si>
  <si>
    <t>Meningkatnya pembinaan pengelolaan risiko daya rusak air dalam rangka peningkatan ketahanan metropolitan dan wilayah sungai</t>
  </si>
  <si>
    <t>Tingkat kinerja layanan pembinaan sungai dan pantai</t>
  </si>
  <si>
    <t>Mentransformasi tata kelola pembinaan bidang sungai dan pantai</t>
  </si>
  <si>
    <t>TEMATIK</t>
  </si>
  <si>
    <t>PKPN</t>
  </si>
  <si>
    <t>Adaptasi Perubahan Iklim</t>
  </si>
  <si>
    <t>Mitigasi Perubahan Iklim</t>
  </si>
  <si>
    <t>Anggaran Infrastruktur</t>
  </si>
  <si>
    <t>Pengarusutamaan Gender</t>
  </si>
  <si>
    <t>Swasembada Air</t>
  </si>
  <si>
    <t>Rehabilitasi dan Rekonstruksi Pascabencana Sumatera</t>
  </si>
  <si>
    <t>Giant Sea Wall</t>
  </si>
  <si>
    <t>7693 Pengembangan Bendungan, Danau, dan Bangunan Penampung Air Lainnya</t>
  </si>
  <si>
    <t>Meningkatnya kapasitas tampungan air yang dapat dimanfaatkan</t>
  </si>
  <si>
    <t>Jumlah bendungan yang selesai dibangun</t>
  </si>
  <si>
    <t>Jumlah bendungan yang direhabilitasi</t>
  </si>
  <si>
    <t>Jumlah tampungan air alami yang direvitalisasi</t>
  </si>
  <si>
    <t>Rasio potensi reduksi banjir oleh bendungan</t>
  </si>
  <si>
    <t>Jumlah dukungan teknis bidang bendungan dan danau</t>
  </si>
  <si>
    <t>Meningkatnya pembinaan pembangunan dan pengelolaan infrastruktur tampungan sumber air dalam rangka kapasitas tampungan air yang dapat dimanfaatkan</t>
  </si>
  <si>
    <t>Tingkat kinerja layanan pembinaan bendungan dan danau</t>
  </si>
  <si>
    <t>Meningkatnya layanan teknis pembangunan dan pengelolaan infrastruktur tampungan sumber air</t>
  </si>
  <si>
    <t>Tingkat layanan teknis Balai Teknik Bendungan</t>
  </si>
  <si>
    <t>Indeks kepuasan masyarakat (IKM) terhadap layanan Balai Teknik Bendungan</t>
  </si>
  <si>
    <t>Mentransformasi tata kelola pembinaan bidang bendungan dan danau</t>
  </si>
  <si>
    <t>7694 Pengembangan Jaringan Air Tanah dan Air Baku</t>
  </si>
  <si>
    <t>Meningkatnya pasokan air baku berkelanjutan dan produktivitas penggunaan air baku</t>
  </si>
  <si>
    <t>Jumlah embung dan tampungan air lainnya yang dibangun</t>
  </si>
  <si>
    <t>Jumlah embung dan tampungan air lainnya yang direhabilitasi</t>
  </si>
  <si>
    <t>Kapasitas prasarana air baku yang dibangun</t>
  </si>
  <si>
    <t>Kapasitas prasarana air baku yang direhabilitasi</t>
  </si>
  <si>
    <t>Rasio kapasitas air baku bersumber dari bendungan terhadap potensinya</t>
  </si>
  <si>
    <t>Jumlah debit air tanah yang dimanfaatkan untuk lahan multikomoditas yang dibangun</t>
  </si>
  <si>
    <t>Jumlah debit air tanah yang dimanfaatkan untuk lahan multikomoditas yang direhabilitasi</t>
  </si>
  <si>
    <t>Jumlah dukungan teknis bidang air tanah dan air baku</t>
  </si>
  <si>
    <t>Meningkatnya penyediaan pasokan air di Pesisir Utara Jawa dalam rangka meningkatkan ketahanan terhadap daya rusak air di Pesisir Utara Jawa</t>
  </si>
  <si>
    <t>Kapasitas prasarana air baku yang dibangun di Pesisir Utara Jawa</t>
  </si>
  <si>
    <t>Meningkatnya pembinaan layanan air baku dan air tanah dalam rangka peningkatan pasokan air baku berkelanjutan dan produktivitas penggunaan air baku</t>
  </si>
  <si>
    <t>Tingkat kinerja layanan pembinaan air tanah dan air baku</t>
  </si>
  <si>
    <t>Mentransformasi tata kelola pembinaan bidang air tanah dan air baku</t>
  </si>
  <si>
    <t>7695 Operasi dan Pemeliharaan Sarana Prasarana SDA serta Penanggulangan Darurat Akibat Bencana</t>
  </si>
  <si>
    <t>Terjaganya layanan infrastruktur SDA dalam rangka meningkatkan dan menjaga kapasitas tampungan air, pasokan air berkelanjutan dan produktivitas air serta untuk ketahanan metropolitan dan wilayah sungai terhadap potensi risiko daya rusak air</t>
  </si>
  <si>
    <t>Jumlah kumulatif tampungan air yang dikelola</t>
  </si>
  <si>
    <t>Jumlah unit pengelola yang dibentuk/dioperasikan</t>
  </si>
  <si>
    <t>Jumlah sempadan yang ditetapkan</t>
  </si>
  <si>
    <t>Jumlah kapasitas prasarana air baku yang dikelola</t>
  </si>
  <si>
    <t>Luas layanan irigasi yang dikelola</t>
  </si>
  <si>
    <t>Jumlah tenaga kerja yang berpartisipasi dalam padat karya</t>
  </si>
  <si>
    <t>Volume layanan air untuk meningkatkan produktivitas irigasi</t>
  </si>
  <si>
    <t>Jumlah infrastruktur pengendali daya rusak air yang dikelola</t>
  </si>
  <si>
    <t>Panjang jaringan infrastruktur pengendali daya rusak air yang dioperasi dan dipelihara</t>
  </si>
  <si>
    <t>Jumlah sungai yang dipelihara</t>
  </si>
  <si>
    <t>Jumlah layanan penanganan darurat akibat bencana</t>
  </si>
  <si>
    <t>Meningkatnya pembinaan, layanan perizinan, dan tata kelola operasi dan pemeliharaan</t>
  </si>
  <si>
    <t>Tingkat kinerja layanan pembinaan operasi dan pemeliharaan</t>
  </si>
  <si>
    <t>Tingkat kinerja layanan pembinaan tata kelola operasi dan pemeliharaan</t>
  </si>
  <si>
    <t>Jumlah usulan perizinan yang diproses</t>
  </si>
  <si>
    <t>Jumlah fasilitasi penanganan tanggap darurat bencana</t>
  </si>
  <si>
    <t>Meningkatnya tata kelola operasi dan pemeliharaan</t>
  </si>
  <si>
    <t>Jumlah rekomendasi teknis yang disusun</t>
  </si>
  <si>
    <t>Jumlah dokumen perhitungan indeks river basin organization performance benchmarking</t>
  </si>
  <si>
    <t>Jumlah kelompok masyarakat dengan penguatan kelembagaan yang difasilitasi</t>
  </si>
  <si>
    <t>Jumlah wadah koordinasi pengelolaan sda wilayah sungai kewenangan pusat yang difasilitasi</t>
  </si>
  <si>
    <t>Jumlah dokumen alokasi air yang disusun</t>
  </si>
  <si>
    <t>Mentransformasi tata kelola pembinaan bidang operasi dan pemeliharaan</t>
  </si>
  <si>
    <t>7755 Dukungan Manajemen Ditjen Sumber Daya Air</t>
  </si>
  <si>
    <t>Meningkatnya Layanan Dukungan Manajemen dan Pelaksanaan Tugas Teknis Lainnya Unit Kerja dan Unit Pelaksana Teknis</t>
  </si>
  <si>
    <t>Tingkat Kualitas Dukungan Manajemen Sekretariat Direktorat Jenderal Sumber Daya Air</t>
  </si>
  <si>
    <t>Tingkat Kualitas Dukungan Manajemen Pusat Pengendalian Lumpur Sidoarjo</t>
  </si>
  <si>
    <t>Tingkat Kualitas Dukungan Manajemen Sekretariat Dewan Sumber Daya Air Nasional</t>
  </si>
  <si>
    <t>Tingkat Kualitas Dukungan Manajemen Direktorat Sistem dan Strategi Pengelolaan Sumber Daya Air</t>
  </si>
  <si>
    <t>Tingkat Kualitas Dukungan Manajemen Direktorat Kepatuhan Intern</t>
  </si>
  <si>
    <t>Tingkat Kualitas Dukungan Manajemen Direktorat Bina Teknik</t>
  </si>
  <si>
    <t>Tingkat Kualitas Dukungan Manajemen Direktorat Irigasi dan Rawa</t>
  </si>
  <si>
    <t>Tingkat Kualitas Dukungan Manajemen Direktorat Sungai dan Pantai</t>
  </si>
  <si>
    <t>Tingkat Kualitas Dukungan Manajemen Direktorat Bendungan dan Danau</t>
  </si>
  <si>
    <t>Tingkat Kualitas Dukungan Manajemen Direktorat Air tanah dan Air Baku</t>
  </si>
  <si>
    <t>Tingkat Kualitas Dukungan Manajemen Direktorat Bina Operasi dan Pemeliharaan</t>
  </si>
  <si>
    <t>Tingkat Kualitas Dukungan Manajemen Unit Pelaksana Teknis</t>
  </si>
  <si>
    <t>Dukungan Manajemen</t>
  </si>
  <si>
    <t>Meningkatnya Dukungan Manajemen dan Tugas Teknis Lainnya</t>
  </si>
  <si>
    <t>Tingkat Kualitas Dukungan Manajemen Kementerian PU dan Tugas Teknis Lainnya (DJSDA)</t>
  </si>
  <si>
    <t>Balai</t>
  </si>
  <si>
    <t>Nama Proyek</t>
  </si>
  <si>
    <t>Nama Paket 1</t>
  </si>
  <si>
    <t>KdProgram.KdKegiatan.KdKRO.KDRO</t>
  </si>
  <si>
    <t>Total</t>
  </si>
  <si>
    <t>Icon</t>
  </si>
  <si>
    <t>Nama Paket 2</t>
  </si>
  <si>
    <t>310 Pelaksanaan layanan Perizinan dan Rekomendasi Teknis</t>
  </si>
  <si>
    <t>310 Koordinasi Antar-lembaga</t>
  </si>
  <si>
    <t>205 Pembentukan Unit/Komunitas/Lembaga Pengelola</t>
  </si>
  <si>
    <t>208 Fasilitasi</t>
  </si>
  <si>
    <t>209 Pembinaan Unit/Komunitas/Lembaga Pengelola</t>
  </si>
  <si>
    <t>210 Fasilitasi Tanggap Darurat Bencana</t>
  </si>
  <si>
    <t>203 Operasionalisasi Unit Pengelola</t>
  </si>
  <si>
    <t>211 Pengadaan Alat Berat</t>
  </si>
  <si>
    <t>212 Operasi dan Pemeliharaan Peralatan</t>
  </si>
  <si>
    <t>206 Kajian Penetapan Garis Sempadan</t>
  </si>
  <si>
    <t>207 Fasilitasi Penetapan Garis Sempadan</t>
  </si>
  <si>
    <t>213 Pelaksanaan Padat Karya</t>
  </si>
  <si>
    <t>307 Pelaksanaan Layanan Pengelolaan Internal</t>
  </si>
  <si>
    <t>314 Pengadaan Prasarana atau Bangunan</t>
  </si>
  <si>
    <t>313 Pengadaan Sarana atau Peralatan</t>
  </si>
  <si>
    <t>001 Gaji dan Tunjangan</t>
  </si>
  <si>
    <t>002 Operasional dan Pemeliharaan Kantor</t>
  </si>
  <si>
    <t>1. Pola dan Rencana PSDA</t>
  </si>
  <si>
    <t>2. Kajian Balai / Masterplan</t>
  </si>
  <si>
    <t>Score</t>
  </si>
  <si>
    <t>Evaluasi menggunakan metode multi criteria analysis</t>
  </si>
  <si>
    <t>bobot</t>
  </si>
  <si>
    <t>Metode urgensitas (40%)</t>
  </si>
  <si>
    <t>Total score</t>
  </si>
  <si>
    <t>Sumber usulan Proyek</t>
  </si>
  <si>
    <t>criteria 1 : Urgensitas (40%)</t>
  </si>
  <si>
    <t>3. Renstra UPT/UNOR/KL</t>
  </si>
  <si>
    <t>4. RPJMN</t>
  </si>
  <si>
    <t>5. RENAKSI Nasional</t>
  </si>
  <si>
    <t>6. Direktif Dirjen SDA</t>
  </si>
  <si>
    <t>7. Usulan Pemerintah Daerah</t>
  </si>
  <si>
    <t>8. Usulan DPR RI / DPRD</t>
  </si>
  <si>
    <t>9. Direktif Menteri PU</t>
  </si>
  <si>
    <t>10. Direktif Presiden / Program Prioritas Presiden</t>
  </si>
  <si>
    <t>criteria 3: Tematik (20%)</t>
  </si>
  <si>
    <t>criteria 2 : Kesiapan teknis (20%)</t>
  </si>
  <si>
    <t>criteria 4: Valuasi (20%)</t>
  </si>
  <si>
    <t>Metode kesiapan teknis (20%)</t>
  </si>
  <si>
    <t>Kelengkapan proyek</t>
  </si>
  <si>
    <t>1. basic desain/SID/DED</t>
  </si>
  <si>
    <t>2. Dokumen Lingkungan</t>
  </si>
  <si>
    <t>3. Tidak membutuhkan lahan</t>
  </si>
  <si>
    <t>Metode tematik (20%)</t>
  </si>
  <si>
    <t>1. PKPN bidang SDA</t>
  </si>
  <si>
    <t>2. KSPEAN</t>
  </si>
  <si>
    <t>3. Wilayah 3T</t>
  </si>
  <si>
    <t>4. Adaptasi perubahan Iklim</t>
  </si>
  <si>
    <t>5. Pengarusutamaan Gender</t>
  </si>
  <si>
    <t>7. Kawasan Industri</t>
  </si>
  <si>
    <t>8. Kawasan Ekonomi Strategis</t>
  </si>
  <si>
    <t>6. Kawasan rawan bencana (banjir, kekeringan, dll)</t>
  </si>
  <si>
    <t>9. Kawasan Metropolitan</t>
  </si>
  <si>
    <t>10. Kawasan Perkotaan</t>
  </si>
  <si>
    <t>11. Tematik lainnya: …</t>
  </si>
  <si>
    <t>Metode Valuasi (20%)</t>
  </si>
  <si>
    <t>1. Rasio anggaran terhadap output &lt; rasio rerata (harga satuan)</t>
  </si>
  <si>
    <t>dst..</t>
  </si>
  <si>
    <t>3. Lahan Siap</t>
  </si>
  <si>
    <t>1. Basic desain/SID/DED</t>
  </si>
  <si>
    <t>Contoh: proyek irigasi ABC</t>
  </si>
  <si>
    <t>4. Kewenangan Pusat</t>
  </si>
  <si>
    <t>3. Kawasan Wilayah 3T</t>
  </si>
  <si>
    <t>2. Kawasan KSPEAN</t>
  </si>
  <si>
    <t>3. Proyek multiguna dan selaras dengan infrastruktur lain</t>
  </si>
  <si>
    <t>4. Pengembangan proyek jangka panjang</t>
  </si>
  <si>
    <t>2. Rasio anggaran terhadap outcome &lt; rasio rerata (harga satuan)</t>
  </si>
  <si>
    <t>Jaringan</t>
  </si>
  <si>
    <t>Bendung</t>
  </si>
  <si>
    <t>Harga satuan bidang irigasi (output)</t>
  </si>
  <si>
    <t>Harga satuan bidang irigasi (outcome)</t>
  </si>
  <si>
    <t>4. Direktif Dirjen SDA</t>
  </si>
  <si>
    <t>7. Direktif Menteri PU</t>
  </si>
  <si>
    <t>8. Direktif Presiden / Program Prioritas Presiden</t>
  </si>
  <si>
    <t>6. Direktif DPR RI</t>
  </si>
  <si>
    <t>5. Usulan Pemerintah Daerah / DPRD</t>
  </si>
  <si>
    <t>KEGIATAN IRIGASI DAN RAWA</t>
  </si>
  <si>
    <t>1. KSPEAN/KSPP Nasional</t>
  </si>
  <si>
    <t>2. Lumbung Pangan Nasional</t>
  </si>
  <si>
    <t>3. Irigasi Waduk</t>
  </si>
  <si>
    <t>4. Modernisasi Irigasi</t>
  </si>
  <si>
    <t>Maksimum score</t>
  </si>
  <si>
    <t>6. Kawasan rawan kekurangan pangan / Adaptasi perubahan iklim</t>
  </si>
  <si>
    <t>7. Kawasan irigasi terintegrasi</t>
  </si>
  <si>
    <t>8. Tematik lainnya: …</t>
  </si>
  <si>
    <t>5. Tambahan luas layanan  berada didalam luas baku sawah (LBS)</t>
  </si>
  <si>
    <t>6. Meningkatkan indeks pertanaman (IP) lebih dari 100%</t>
  </si>
  <si>
    <t>7. Daerah irigasi memenuhi standar teknis dan operasionalisasi</t>
  </si>
  <si>
    <t>8. Luas Fungsional &gt; 50% Luas Baku</t>
  </si>
  <si>
    <t>Bendung: tidak bisa diukur (nilai maksimal)</t>
  </si>
  <si>
    <t>ada/tidak ada</t>
  </si>
  <si>
    <t>ada</t>
  </si>
  <si>
    <t>tidak ada</t>
  </si>
  <si>
    <t>Contoh: Pembangunan proyek irigasi ABC</t>
  </si>
  <si>
    <t>Informasi proyek:</t>
  </si>
  <si>
    <t>Kebutuhan Anggaran Total (A)</t>
  </si>
  <si>
    <t>Vol Output Total (B)</t>
  </si>
  <si>
    <t>Vol Outcome Total (C)</t>
  </si>
  <si>
    <t>Rasio B/A</t>
  </si>
  <si>
    <t>Rasio C/A</t>
  </si>
  <si>
    <t>Rasio B/C</t>
  </si>
  <si>
    <t>4. Proyek multiguna dan selaras dengan infrastruktur lain</t>
  </si>
  <si>
    <t>3. Rasio Output terhadap Outcome &lt; rasio rerata</t>
  </si>
  <si>
    <t>-</t>
  </si>
  <si>
    <t>Rasio Output/Outcome</t>
  </si>
  <si>
    <t>Km/Ha</t>
  </si>
  <si>
    <t>Evaluasi:</t>
  </si>
  <si>
    <t>Keterangan</t>
  </si>
  <si>
    <t>RPSDA tahun 2025</t>
  </si>
  <si>
    <t>RENSTRA UPT 2025-2029</t>
  </si>
  <si>
    <t>DED tahun 2023</t>
  </si>
  <si>
    <t>DOKLING tahun 2024</t>
  </si>
  <si>
    <t>Provinsi Lumbung Pangan (Data BPS)</t>
  </si>
  <si>
    <t>Partisipasi masyarakat</t>
  </si>
  <si>
    <t>Menyumbang ketahanan pangan pada musim kemarau</t>
  </si>
  <si>
    <t>Kategori proyek</t>
  </si>
  <si>
    <t>Pembangunan baru jaringan irigasi</t>
  </si>
  <si>
    <t>Ya/Tidak</t>
  </si>
  <si>
    <t>Ya</t>
  </si>
  <si>
    <t>Tidak</t>
  </si>
  <si>
    <t>Ha</t>
  </si>
  <si>
    <t>Milyar rupiah / Km</t>
  </si>
  <si>
    <t>Milyar rupiah / Ha</t>
  </si>
  <si>
    <t>Pembangunan Jaringan irigasi</t>
  </si>
  <si>
    <t>Rehabilitasi jaringan irigasi</t>
  </si>
  <si>
    <t>Milyar Rupiah</t>
  </si>
  <si>
    <t>Milyar Rupiah/Km</t>
  </si>
  <si>
    <t>Milyar Rupiah/Ha</t>
  </si>
  <si>
    <t>Selaras dengan proyek JIAT</t>
  </si>
  <si>
    <t>20% luas layanan berada dalam LBS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</si>
</sst>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
    <numFmt numFmtId="166" formatCode="_-* #,##0_-;\-* #,##0_-;_-* &quot;-&quot;??_-;_-@_-"/>
    <numFmt numFmtId="174" formatCode="0.000"/>
  </numFmts>
  <fonts count="3" x14ac:knownFonts="1">
    <font>
      <sz val="11"/>
      <color theme="1"/>
      <name val="Aptos Narrow"/>
      <family val="2"/>
      <scheme val="minor"/>
    </font>
    <font>
      <b/>
      <sz val="11"/>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theme="2" tint="-9.9978637043366805E-2"/>
        <bgColor indexed="64"/>
      </patternFill>
    </fill>
    <fill>
      <patternFill patternType="solid">
        <fgColor rgb="FF00B0F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34">
    <xf numFmtId="0" fontId="0" fillId="0" borderId="0" xfId="0"/>
    <xf numFmtId="0" fontId="0" fillId="0" borderId="0" xfId="0" applyAlignment="1">
      <alignment horizontal="center"/>
    </xf>
    <xf numFmtId="0" fontId="0" fillId="2" borderId="0" xfId="0" applyFill="1"/>
    <xf numFmtId="0" fontId="0" fillId="3" borderId="0" xfId="0" applyFill="1"/>
    <xf numFmtId="0" fontId="1" fillId="0" borderId="0" xfId="0" applyFont="1" applyAlignment="1">
      <alignment horizontal="center"/>
    </xf>
    <xf numFmtId="0" fontId="0" fillId="0" borderId="1" xfId="0" applyBorder="1" applyAlignment="1">
      <alignment horizontal="center"/>
    </xf>
    <xf numFmtId="0" fontId="0" fillId="0" borderId="1" xfId="0" applyBorder="1" applyAlignment="1">
      <alignment horizontal="left"/>
    </xf>
    <xf numFmtId="0" fontId="0" fillId="0" borderId="1" xfId="0" applyFill="1" applyBorder="1" applyAlignment="1">
      <alignment horizontal="left"/>
    </xf>
    <xf numFmtId="0" fontId="0" fillId="0" borderId="0" xfId="0" applyFill="1" applyBorder="1" applyAlignment="1">
      <alignment horizontal="left"/>
    </xf>
    <xf numFmtId="9" fontId="0" fillId="0" borderId="0" xfId="1" applyFont="1"/>
    <xf numFmtId="164" fontId="0" fillId="0" borderId="1" xfId="1" applyNumberFormat="1" applyFont="1" applyBorder="1" applyAlignment="1">
      <alignment horizontal="center"/>
    </xf>
    <xf numFmtId="164" fontId="0" fillId="4" borderId="1" xfId="1" applyNumberFormat="1" applyFont="1" applyFill="1" applyBorder="1" applyAlignment="1">
      <alignment horizontal="center"/>
    </xf>
    <xf numFmtId="0" fontId="1" fillId="0" borderId="0" xfId="0" applyFont="1"/>
    <xf numFmtId="0" fontId="0" fillId="0" borderId="0" xfId="0" applyAlignment="1">
      <alignment horizontal="center"/>
    </xf>
    <xf numFmtId="9" fontId="0" fillId="0" borderId="0" xfId="0" applyNumberFormat="1"/>
    <xf numFmtId="0" fontId="0" fillId="0" borderId="0" xfId="0" applyFill="1"/>
    <xf numFmtId="9" fontId="0" fillId="0" borderId="0" xfId="1" applyFont="1" applyFill="1"/>
    <xf numFmtId="0" fontId="0" fillId="0" borderId="1" xfId="0" applyFill="1" applyBorder="1" applyAlignment="1">
      <alignment horizontal="center"/>
    </xf>
    <xf numFmtId="164" fontId="0" fillId="0" borderId="1" xfId="1" applyNumberFormat="1" applyFont="1" applyFill="1" applyBorder="1" applyAlignment="1">
      <alignment horizontal="center"/>
    </xf>
    <xf numFmtId="0" fontId="1" fillId="0" borderId="0" xfId="0" applyFont="1" applyAlignment="1">
      <alignment wrapText="1"/>
    </xf>
    <xf numFmtId="0" fontId="0" fillId="0" borderId="0" xfId="0" applyAlignment="1">
      <alignment wrapText="1"/>
    </xf>
    <xf numFmtId="0" fontId="0" fillId="0" borderId="1" xfId="0" applyBorder="1" applyAlignment="1">
      <alignment horizontal="center" wrapText="1"/>
    </xf>
    <xf numFmtId="0" fontId="0" fillId="0" borderId="1" xfId="0" applyBorder="1" applyAlignment="1">
      <alignment horizontal="left" wrapText="1"/>
    </xf>
    <xf numFmtId="0" fontId="0" fillId="0" borderId="0" xfId="0" applyFill="1" applyBorder="1" applyAlignment="1">
      <alignment horizontal="left" wrapText="1"/>
    </xf>
    <xf numFmtId="0" fontId="0" fillId="0" borderId="0" xfId="0" applyFill="1" applyAlignment="1">
      <alignment wrapText="1"/>
    </xf>
    <xf numFmtId="0" fontId="0" fillId="0" borderId="1" xfId="0" applyFill="1" applyBorder="1" applyAlignment="1">
      <alignment horizontal="center" wrapText="1"/>
    </xf>
    <xf numFmtId="0" fontId="0" fillId="0" borderId="1" xfId="0" applyFill="1" applyBorder="1" applyAlignment="1">
      <alignment horizontal="left" wrapText="1"/>
    </xf>
    <xf numFmtId="0" fontId="0" fillId="0" borderId="1" xfId="0" applyFill="1" applyBorder="1" applyAlignment="1">
      <alignment wrapText="1"/>
    </xf>
    <xf numFmtId="0" fontId="0" fillId="0" borderId="1" xfId="0" applyBorder="1" applyAlignment="1">
      <alignment wrapText="1"/>
    </xf>
    <xf numFmtId="166" fontId="0" fillId="0" borderId="0" xfId="2" applyNumberFormat="1" applyFont="1" applyFill="1" applyBorder="1" applyAlignment="1">
      <alignment horizontal="left"/>
    </xf>
    <xf numFmtId="43" fontId="0" fillId="0" borderId="0" xfId="0" applyNumberFormat="1" applyFill="1" applyBorder="1" applyAlignment="1">
      <alignment horizontal="left"/>
    </xf>
    <xf numFmtId="43" fontId="0" fillId="0" borderId="0" xfId="2" applyFont="1"/>
    <xf numFmtId="174" fontId="0" fillId="0" borderId="0" xfId="0" applyNumberFormat="1"/>
    <xf numFmtId="43" fontId="0" fillId="0" borderId="0" xfId="2" applyNumberFormat="1" applyFont="1" applyFill="1" applyBorder="1" applyAlignment="1">
      <alignment horizontal="left"/>
    </xf>
  </cellXfs>
  <cellStyles count="3">
    <cellStyle name="Comma" xfId="2" builtinId="3"/>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7289A-475A-47CD-8231-EB9ACCE280BE}">
  <dimension ref="A1:F826"/>
  <sheetViews>
    <sheetView topLeftCell="A778" workbookViewId="0">
      <selection activeCell="D784" sqref="D784"/>
    </sheetView>
  </sheetViews>
  <sheetFormatPr defaultRowHeight="15" x14ac:dyDescent="0.25"/>
  <cols>
    <col min="1" max="1" width="28.5703125" bestFit="1" customWidth="1"/>
    <col min="4" max="4" width="135.5703125" bestFit="1" customWidth="1"/>
    <col min="5" max="5" width="10.140625" customWidth="1"/>
    <col min="6" max="6" width="37.28515625" bestFit="1" customWidth="1"/>
  </cols>
  <sheetData>
    <row r="1" spans="1:6" s="1" customFormat="1" x14ac:dyDescent="0.25">
      <c r="A1" s="1" t="s">
        <v>0</v>
      </c>
      <c r="B1" s="1" t="s">
        <v>1</v>
      </c>
      <c r="C1" s="1" t="s">
        <v>2</v>
      </c>
      <c r="D1" s="1" t="s">
        <v>3</v>
      </c>
      <c r="E1" s="1" t="s">
        <v>4</v>
      </c>
      <c r="F1" s="1" t="s">
        <v>5</v>
      </c>
    </row>
    <row r="2" spans="1:6" x14ac:dyDescent="0.25">
      <c r="A2" t="s">
        <v>6</v>
      </c>
    </row>
    <row r="3" spans="1:6" x14ac:dyDescent="0.25">
      <c r="B3" t="s">
        <v>7</v>
      </c>
    </row>
    <row r="4" spans="1:6" x14ac:dyDescent="0.25">
      <c r="C4" t="s">
        <v>8</v>
      </c>
    </row>
    <row r="5" spans="1:6" x14ac:dyDescent="0.25">
      <c r="D5" t="s">
        <v>11</v>
      </c>
      <c r="E5" t="s">
        <v>9</v>
      </c>
    </row>
    <row r="6" spans="1:6" x14ac:dyDescent="0.25">
      <c r="F6" t="s">
        <v>234</v>
      </c>
    </row>
    <row r="7" spans="1:6" x14ac:dyDescent="0.25">
      <c r="F7" t="s">
        <v>235</v>
      </c>
    </row>
    <row r="8" spans="1:6" x14ac:dyDescent="0.25">
      <c r="F8" t="s">
        <v>236</v>
      </c>
    </row>
    <row r="9" spans="1:6" x14ac:dyDescent="0.25">
      <c r="D9" t="s">
        <v>12</v>
      </c>
      <c r="E9" t="s">
        <v>9</v>
      </c>
    </row>
    <row r="10" spans="1:6" x14ac:dyDescent="0.25">
      <c r="F10" t="s">
        <v>237</v>
      </c>
    </row>
    <row r="11" spans="1:6" x14ac:dyDescent="0.25">
      <c r="F11" t="s">
        <v>238</v>
      </c>
    </row>
    <row r="12" spans="1:6" x14ac:dyDescent="0.25">
      <c r="F12" t="s">
        <v>239</v>
      </c>
    </row>
    <row r="13" spans="1:6" x14ac:dyDescent="0.25">
      <c r="C13" t="s">
        <v>13</v>
      </c>
    </row>
    <row r="14" spans="1:6" x14ac:dyDescent="0.25">
      <c r="D14" t="s">
        <v>15</v>
      </c>
      <c r="E14" t="s">
        <v>14</v>
      </c>
    </row>
    <row r="15" spans="1:6" x14ac:dyDescent="0.25">
      <c r="F15" t="s">
        <v>240</v>
      </c>
    </row>
    <row r="16" spans="1:6" x14ac:dyDescent="0.25">
      <c r="F16" t="s">
        <v>241</v>
      </c>
    </row>
    <row r="17" spans="3:6" x14ac:dyDescent="0.25">
      <c r="F17" t="s">
        <v>242</v>
      </c>
    </row>
    <row r="18" spans="3:6" x14ac:dyDescent="0.25">
      <c r="F18" t="s">
        <v>243</v>
      </c>
    </row>
    <row r="19" spans="3:6" x14ac:dyDescent="0.25">
      <c r="C19" t="s">
        <v>16</v>
      </c>
    </row>
    <row r="20" spans="3:6" x14ac:dyDescent="0.25">
      <c r="D20" t="s">
        <v>17</v>
      </c>
      <c r="E20" t="s">
        <v>10</v>
      </c>
    </row>
    <row r="21" spans="3:6" x14ac:dyDescent="0.25">
      <c r="F21" t="s">
        <v>244</v>
      </c>
    </row>
    <row r="22" spans="3:6" x14ac:dyDescent="0.25">
      <c r="F22" t="s">
        <v>245</v>
      </c>
    </row>
    <row r="23" spans="3:6" x14ac:dyDescent="0.25">
      <c r="F23" t="s">
        <v>236</v>
      </c>
    </row>
    <row r="24" spans="3:6" x14ac:dyDescent="0.25">
      <c r="C24" t="s">
        <v>18</v>
      </c>
    </row>
    <row r="25" spans="3:6" x14ac:dyDescent="0.25">
      <c r="D25" t="s">
        <v>20</v>
      </c>
      <c r="E25" t="s">
        <v>19</v>
      </c>
    </row>
    <row r="26" spans="3:6" x14ac:dyDescent="0.25">
      <c r="F26" t="s">
        <v>240</v>
      </c>
    </row>
    <row r="27" spans="3:6" x14ac:dyDescent="0.25">
      <c r="F27" t="s">
        <v>250</v>
      </c>
    </row>
    <row r="28" spans="3:6" x14ac:dyDescent="0.25">
      <c r="F28" t="s">
        <v>241</v>
      </c>
    </row>
    <row r="29" spans="3:6" x14ac:dyDescent="0.25">
      <c r="F29" t="s">
        <v>251</v>
      </c>
    </row>
    <row r="30" spans="3:6" x14ac:dyDescent="0.25">
      <c r="F30" t="s">
        <v>246</v>
      </c>
    </row>
    <row r="31" spans="3:6" x14ac:dyDescent="0.25">
      <c r="F31" t="s">
        <v>249</v>
      </c>
    </row>
    <row r="32" spans="3:6" x14ac:dyDescent="0.25">
      <c r="F32" t="s">
        <v>247</v>
      </c>
    </row>
    <row r="33" spans="3:6" x14ac:dyDescent="0.25">
      <c r="F33" t="s">
        <v>248</v>
      </c>
    </row>
    <row r="34" spans="3:6" x14ac:dyDescent="0.25">
      <c r="F34" t="s">
        <v>242</v>
      </c>
    </row>
    <row r="35" spans="3:6" x14ac:dyDescent="0.25">
      <c r="D35" t="s">
        <v>21</v>
      </c>
      <c r="E35" t="s">
        <v>19</v>
      </c>
    </row>
    <row r="36" spans="3:6" x14ac:dyDescent="0.25">
      <c r="F36" t="s">
        <v>240</v>
      </c>
    </row>
    <row r="37" spans="3:6" x14ac:dyDescent="0.25">
      <c r="F37" t="s">
        <v>250</v>
      </c>
    </row>
    <row r="38" spans="3:6" x14ac:dyDescent="0.25">
      <c r="F38" t="s">
        <v>241</v>
      </c>
    </row>
    <row r="39" spans="3:6" x14ac:dyDescent="0.25">
      <c r="F39" t="s">
        <v>251</v>
      </c>
    </row>
    <row r="40" spans="3:6" x14ac:dyDescent="0.25">
      <c r="F40" t="s">
        <v>246</v>
      </c>
    </row>
    <row r="41" spans="3:6" x14ac:dyDescent="0.25">
      <c r="F41" t="s">
        <v>249</v>
      </c>
    </row>
    <row r="42" spans="3:6" x14ac:dyDescent="0.25">
      <c r="F42" t="s">
        <v>247</v>
      </c>
    </row>
    <row r="43" spans="3:6" x14ac:dyDescent="0.25">
      <c r="F43" t="s">
        <v>248</v>
      </c>
    </row>
    <row r="44" spans="3:6" x14ac:dyDescent="0.25">
      <c r="F44" t="s">
        <v>242</v>
      </c>
    </row>
    <row r="45" spans="3:6" x14ac:dyDescent="0.25">
      <c r="C45" t="s">
        <v>22</v>
      </c>
    </row>
    <row r="46" spans="3:6" x14ac:dyDescent="0.25">
      <c r="D46" t="s">
        <v>23</v>
      </c>
      <c r="E46" t="s">
        <v>14</v>
      </c>
    </row>
    <row r="47" spans="3:6" x14ac:dyDescent="0.25">
      <c r="F47" t="s">
        <v>252</v>
      </c>
    </row>
    <row r="48" spans="3:6" x14ac:dyDescent="0.25">
      <c r="F48" t="s">
        <v>253</v>
      </c>
    </row>
    <row r="49" spans="2:6" x14ac:dyDescent="0.25">
      <c r="F49" t="s">
        <v>254</v>
      </c>
    </row>
    <row r="50" spans="2:6" x14ac:dyDescent="0.25">
      <c r="F50" t="s">
        <v>256</v>
      </c>
    </row>
    <row r="51" spans="2:6" x14ac:dyDescent="0.25">
      <c r="F51" t="s">
        <v>255</v>
      </c>
    </row>
    <row r="52" spans="2:6" x14ac:dyDescent="0.25">
      <c r="C52" t="s">
        <v>24</v>
      </c>
    </row>
    <row r="53" spans="2:6" x14ac:dyDescent="0.25">
      <c r="D53" t="s">
        <v>25</v>
      </c>
      <c r="E53" t="s">
        <v>19</v>
      </c>
    </row>
    <row r="54" spans="2:6" x14ac:dyDescent="0.25">
      <c r="F54" t="s">
        <v>252</v>
      </c>
    </row>
    <row r="55" spans="2:6" x14ac:dyDescent="0.25">
      <c r="F55" t="s">
        <v>253</v>
      </c>
    </row>
    <row r="56" spans="2:6" x14ac:dyDescent="0.25">
      <c r="F56" t="s">
        <v>254</v>
      </c>
    </row>
    <row r="57" spans="2:6" x14ac:dyDescent="0.25">
      <c r="F57" t="s">
        <v>256</v>
      </c>
    </row>
    <row r="58" spans="2:6" x14ac:dyDescent="0.25">
      <c r="B58" t="s">
        <v>26</v>
      </c>
    </row>
    <row r="59" spans="2:6" x14ac:dyDescent="0.25">
      <c r="C59" t="s">
        <v>27</v>
      </c>
    </row>
    <row r="60" spans="2:6" x14ac:dyDescent="0.25">
      <c r="D60" t="s">
        <v>29</v>
      </c>
      <c r="E60" t="s">
        <v>28</v>
      </c>
    </row>
    <row r="61" spans="2:6" x14ac:dyDescent="0.25">
      <c r="F61" t="s">
        <v>244</v>
      </c>
    </row>
    <row r="62" spans="2:6" x14ac:dyDescent="0.25">
      <c r="F62" t="s">
        <v>257</v>
      </c>
    </row>
    <row r="63" spans="2:6" x14ac:dyDescent="0.25">
      <c r="F63" t="s">
        <v>258</v>
      </c>
    </row>
    <row r="64" spans="2:6" x14ac:dyDescent="0.25">
      <c r="F64" t="s">
        <v>259</v>
      </c>
    </row>
    <row r="65" spans="2:6" x14ac:dyDescent="0.25">
      <c r="F65" t="s">
        <v>236</v>
      </c>
    </row>
    <row r="66" spans="2:6" x14ac:dyDescent="0.25">
      <c r="C66" t="s">
        <v>30</v>
      </c>
    </row>
    <row r="67" spans="2:6" x14ac:dyDescent="0.25">
      <c r="D67" t="s">
        <v>31</v>
      </c>
      <c r="E67" t="s">
        <v>9</v>
      </c>
    </row>
    <row r="68" spans="2:6" x14ac:dyDescent="0.25">
      <c r="F68" t="s">
        <v>237</v>
      </c>
    </row>
    <row r="69" spans="2:6" x14ac:dyDescent="0.25">
      <c r="F69" t="s">
        <v>238</v>
      </c>
    </row>
    <row r="70" spans="2:6" x14ac:dyDescent="0.25">
      <c r="F70" t="s">
        <v>239</v>
      </c>
    </row>
    <row r="71" spans="2:6" x14ac:dyDescent="0.25">
      <c r="B71" t="s">
        <v>32</v>
      </c>
    </row>
    <row r="72" spans="2:6" x14ac:dyDescent="0.25">
      <c r="C72" t="s">
        <v>33</v>
      </c>
    </row>
    <row r="73" spans="2:6" x14ac:dyDescent="0.25">
      <c r="D73" t="s">
        <v>34</v>
      </c>
      <c r="E73" t="s">
        <v>28</v>
      </c>
    </row>
    <row r="74" spans="2:6" x14ac:dyDescent="0.25">
      <c r="F74" t="s">
        <v>257</v>
      </c>
    </row>
    <row r="75" spans="2:6" x14ac:dyDescent="0.25">
      <c r="F75" t="s">
        <v>235</v>
      </c>
    </row>
    <row r="76" spans="2:6" x14ac:dyDescent="0.25">
      <c r="F76" t="s">
        <v>259</v>
      </c>
    </row>
    <row r="77" spans="2:6" x14ac:dyDescent="0.25">
      <c r="F77" t="s">
        <v>236</v>
      </c>
    </row>
    <row r="78" spans="2:6" x14ac:dyDescent="0.25">
      <c r="D78" t="s">
        <v>35</v>
      </c>
      <c r="E78" t="s">
        <v>28</v>
      </c>
    </row>
    <row r="79" spans="2:6" x14ac:dyDescent="0.25">
      <c r="F79" t="s">
        <v>244</v>
      </c>
    </row>
    <row r="80" spans="2:6" x14ac:dyDescent="0.25">
      <c r="F80" t="s">
        <v>236</v>
      </c>
    </row>
    <row r="81" spans="3:6" x14ac:dyDescent="0.25">
      <c r="C81" t="s">
        <v>36</v>
      </c>
    </row>
    <row r="82" spans="3:6" x14ac:dyDescent="0.25">
      <c r="D82" t="s">
        <v>37</v>
      </c>
      <c r="E82" t="s">
        <v>9</v>
      </c>
    </row>
    <row r="83" spans="3:6" x14ac:dyDescent="0.25">
      <c r="F83" t="s">
        <v>237</v>
      </c>
    </row>
    <row r="84" spans="3:6" x14ac:dyDescent="0.25">
      <c r="F84" t="s">
        <v>238</v>
      </c>
    </row>
    <row r="85" spans="3:6" x14ac:dyDescent="0.25">
      <c r="F85" t="s">
        <v>239</v>
      </c>
    </row>
    <row r="86" spans="3:6" x14ac:dyDescent="0.25">
      <c r="F86" t="s">
        <v>235</v>
      </c>
    </row>
    <row r="87" spans="3:6" x14ac:dyDescent="0.25">
      <c r="F87" t="s">
        <v>260</v>
      </c>
    </row>
    <row r="88" spans="3:6" x14ac:dyDescent="0.25">
      <c r="F88" t="s">
        <v>236</v>
      </c>
    </row>
    <row r="89" spans="3:6" x14ac:dyDescent="0.25">
      <c r="C89" t="s">
        <v>38</v>
      </c>
    </row>
    <row r="90" spans="3:6" x14ac:dyDescent="0.25">
      <c r="D90" t="s">
        <v>39</v>
      </c>
      <c r="E90" t="s">
        <v>10</v>
      </c>
    </row>
    <row r="91" spans="3:6" x14ac:dyDescent="0.25">
      <c r="F91" t="s">
        <v>261</v>
      </c>
    </row>
    <row r="92" spans="3:6" x14ac:dyDescent="0.25">
      <c r="F92" t="s">
        <v>262</v>
      </c>
    </row>
    <row r="93" spans="3:6" x14ac:dyDescent="0.25">
      <c r="F93" t="s">
        <v>244</v>
      </c>
    </row>
    <row r="94" spans="3:6" x14ac:dyDescent="0.25">
      <c r="D94" t="s">
        <v>40</v>
      </c>
      <c r="E94" t="s">
        <v>10</v>
      </c>
    </row>
    <row r="95" spans="3:6" x14ac:dyDescent="0.25">
      <c r="F95" t="s">
        <v>244</v>
      </c>
    </row>
    <row r="96" spans="3:6" x14ac:dyDescent="0.25">
      <c r="F96" t="s">
        <v>237</v>
      </c>
    </row>
    <row r="97" spans="2:6" x14ac:dyDescent="0.25">
      <c r="F97" t="s">
        <v>259</v>
      </c>
    </row>
    <row r="98" spans="2:6" x14ac:dyDescent="0.25">
      <c r="F98" t="s">
        <v>236</v>
      </c>
    </row>
    <row r="99" spans="2:6" x14ac:dyDescent="0.25">
      <c r="D99" t="s">
        <v>41</v>
      </c>
      <c r="E99" t="s">
        <v>10</v>
      </c>
    </row>
    <row r="100" spans="2:6" x14ac:dyDescent="0.25">
      <c r="F100" t="s">
        <v>237</v>
      </c>
    </row>
    <row r="101" spans="2:6" x14ac:dyDescent="0.25">
      <c r="F101" t="s">
        <v>238</v>
      </c>
    </row>
    <row r="102" spans="2:6" x14ac:dyDescent="0.25">
      <c r="F102" t="s">
        <v>239</v>
      </c>
    </row>
    <row r="103" spans="2:6" x14ac:dyDescent="0.25">
      <c r="F103" t="s">
        <v>236</v>
      </c>
    </row>
    <row r="104" spans="2:6" x14ac:dyDescent="0.25">
      <c r="B104" t="s">
        <v>42</v>
      </c>
    </row>
    <row r="105" spans="2:6" x14ac:dyDescent="0.25">
      <c r="C105" t="s">
        <v>43</v>
      </c>
    </row>
    <row r="106" spans="2:6" x14ac:dyDescent="0.25">
      <c r="D106" t="s">
        <v>44</v>
      </c>
      <c r="E106" t="s">
        <v>9</v>
      </c>
    </row>
    <row r="107" spans="2:6" x14ac:dyDescent="0.25">
      <c r="F107" t="s">
        <v>239</v>
      </c>
    </row>
    <row r="108" spans="2:6" x14ac:dyDescent="0.25">
      <c r="F108" t="s">
        <v>236</v>
      </c>
    </row>
    <row r="109" spans="2:6" x14ac:dyDescent="0.25">
      <c r="D109" t="s">
        <v>45</v>
      </c>
      <c r="E109" t="s">
        <v>9</v>
      </c>
    </row>
    <row r="110" spans="2:6" x14ac:dyDescent="0.25">
      <c r="F110" t="s">
        <v>239</v>
      </c>
    </row>
    <row r="111" spans="2:6" x14ac:dyDescent="0.25">
      <c r="D111" t="s">
        <v>46</v>
      </c>
      <c r="E111" t="s">
        <v>9</v>
      </c>
    </row>
    <row r="112" spans="2:6" x14ac:dyDescent="0.25">
      <c r="F112" t="s">
        <v>234</v>
      </c>
    </row>
    <row r="113" spans="2:6" x14ac:dyDescent="0.25">
      <c r="F113" t="s">
        <v>237</v>
      </c>
    </row>
    <row r="114" spans="2:6" x14ac:dyDescent="0.25">
      <c r="F114" t="s">
        <v>238</v>
      </c>
    </row>
    <row r="115" spans="2:6" x14ac:dyDescent="0.25">
      <c r="F115" t="s">
        <v>239</v>
      </c>
    </row>
    <row r="116" spans="2:6" x14ac:dyDescent="0.25">
      <c r="F116" t="s">
        <v>235</v>
      </c>
    </row>
    <row r="117" spans="2:6" x14ac:dyDescent="0.25">
      <c r="F117" t="s">
        <v>259</v>
      </c>
    </row>
    <row r="118" spans="2:6" x14ac:dyDescent="0.25">
      <c r="F118" t="s">
        <v>260</v>
      </c>
    </row>
    <row r="119" spans="2:6" x14ac:dyDescent="0.25">
      <c r="F119" t="s">
        <v>236</v>
      </c>
    </row>
    <row r="120" spans="2:6" x14ac:dyDescent="0.25">
      <c r="B120" t="s">
        <v>47</v>
      </c>
    </row>
    <row r="121" spans="2:6" x14ac:dyDescent="0.25">
      <c r="C121" t="s">
        <v>48</v>
      </c>
    </row>
    <row r="122" spans="2:6" x14ac:dyDescent="0.25">
      <c r="D122" t="s">
        <v>49</v>
      </c>
      <c r="E122" t="s">
        <v>9</v>
      </c>
    </row>
    <row r="123" spans="2:6" x14ac:dyDescent="0.25">
      <c r="F123" t="s">
        <v>245</v>
      </c>
    </row>
    <row r="124" spans="2:6" x14ac:dyDescent="0.25">
      <c r="D124" t="s">
        <v>50</v>
      </c>
      <c r="E124" t="s">
        <v>9</v>
      </c>
    </row>
    <row r="125" spans="2:6" x14ac:dyDescent="0.25">
      <c r="F125" t="s">
        <v>244</v>
      </c>
    </row>
    <row r="126" spans="2:6" x14ac:dyDescent="0.25">
      <c r="D126" t="s">
        <v>51</v>
      </c>
      <c r="E126" t="s">
        <v>9</v>
      </c>
    </row>
    <row r="127" spans="2:6" x14ac:dyDescent="0.25">
      <c r="F127" t="s">
        <v>234</v>
      </c>
    </row>
    <row r="128" spans="2:6" x14ac:dyDescent="0.25">
      <c r="F128" t="s">
        <v>244</v>
      </c>
    </row>
    <row r="129" spans="3:6" x14ac:dyDescent="0.25">
      <c r="F129" t="s">
        <v>237</v>
      </c>
    </row>
    <row r="130" spans="3:6" x14ac:dyDescent="0.25">
      <c r="F130" t="s">
        <v>235</v>
      </c>
    </row>
    <row r="131" spans="3:6" x14ac:dyDescent="0.25">
      <c r="F131" t="s">
        <v>259</v>
      </c>
    </row>
    <row r="132" spans="3:6" x14ac:dyDescent="0.25">
      <c r="F132" t="s">
        <v>236</v>
      </c>
    </row>
    <row r="133" spans="3:6" x14ac:dyDescent="0.25">
      <c r="D133" t="s">
        <v>52</v>
      </c>
      <c r="E133" t="s">
        <v>9</v>
      </c>
    </row>
    <row r="134" spans="3:6" x14ac:dyDescent="0.25">
      <c r="F134" t="s">
        <v>237</v>
      </c>
    </row>
    <row r="135" spans="3:6" x14ac:dyDescent="0.25">
      <c r="F135" t="s">
        <v>238</v>
      </c>
    </row>
    <row r="136" spans="3:6" x14ac:dyDescent="0.25">
      <c r="F136" t="s">
        <v>239</v>
      </c>
    </row>
    <row r="137" spans="3:6" x14ac:dyDescent="0.25">
      <c r="C137" t="s">
        <v>53</v>
      </c>
    </row>
    <row r="138" spans="3:6" x14ac:dyDescent="0.25">
      <c r="D138" t="s">
        <v>54</v>
      </c>
      <c r="E138" t="s">
        <v>10</v>
      </c>
    </row>
    <row r="139" spans="3:6" x14ac:dyDescent="0.25">
      <c r="F139" t="s">
        <v>258</v>
      </c>
    </row>
    <row r="140" spans="3:6" x14ac:dyDescent="0.25">
      <c r="F140" t="s">
        <v>263</v>
      </c>
    </row>
    <row r="141" spans="3:6" x14ac:dyDescent="0.25">
      <c r="F141" t="s">
        <v>260</v>
      </c>
    </row>
    <row r="142" spans="3:6" x14ac:dyDescent="0.25">
      <c r="F142" t="s">
        <v>236</v>
      </c>
    </row>
    <row r="143" spans="3:6" x14ac:dyDescent="0.25">
      <c r="D143" t="s">
        <v>55</v>
      </c>
      <c r="E143" t="s">
        <v>10</v>
      </c>
    </row>
    <row r="144" spans="3:6" x14ac:dyDescent="0.25">
      <c r="F144" t="s">
        <v>258</v>
      </c>
    </row>
    <row r="145" spans="3:6" x14ac:dyDescent="0.25">
      <c r="F145" t="s">
        <v>263</v>
      </c>
    </row>
    <row r="146" spans="3:6" x14ac:dyDescent="0.25">
      <c r="F146" t="s">
        <v>260</v>
      </c>
    </row>
    <row r="147" spans="3:6" x14ac:dyDescent="0.25">
      <c r="F147" t="s">
        <v>236</v>
      </c>
    </row>
    <row r="148" spans="3:6" x14ac:dyDescent="0.25">
      <c r="C148" t="s">
        <v>56</v>
      </c>
    </row>
    <row r="149" spans="3:6" x14ac:dyDescent="0.25">
      <c r="D149" t="s">
        <v>57</v>
      </c>
      <c r="E149" t="s">
        <v>14</v>
      </c>
    </row>
    <row r="150" spans="3:6" x14ac:dyDescent="0.25">
      <c r="F150" t="s">
        <v>263</v>
      </c>
    </row>
    <row r="151" spans="3:6" x14ac:dyDescent="0.25">
      <c r="F151" t="s">
        <v>260</v>
      </c>
    </row>
    <row r="152" spans="3:6" x14ac:dyDescent="0.25">
      <c r="F152" t="s">
        <v>236</v>
      </c>
    </row>
    <row r="153" spans="3:6" x14ac:dyDescent="0.25">
      <c r="D153" t="s">
        <v>58</v>
      </c>
      <c r="E153" t="s">
        <v>14</v>
      </c>
    </row>
    <row r="154" spans="3:6" x14ac:dyDescent="0.25">
      <c r="F154" t="s">
        <v>263</v>
      </c>
    </row>
    <row r="155" spans="3:6" x14ac:dyDescent="0.25">
      <c r="F155" t="s">
        <v>260</v>
      </c>
    </row>
    <row r="156" spans="3:6" x14ac:dyDescent="0.25">
      <c r="F156" t="s">
        <v>236</v>
      </c>
    </row>
    <row r="157" spans="3:6" x14ac:dyDescent="0.25">
      <c r="C157" t="s">
        <v>59</v>
      </c>
    </row>
    <row r="158" spans="3:6" x14ac:dyDescent="0.25">
      <c r="D158" t="s">
        <v>60</v>
      </c>
      <c r="E158" t="s">
        <v>10</v>
      </c>
    </row>
    <row r="159" spans="3:6" x14ac:dyDescent="0.25">
      <c r="F159" t="s">
        <v>234</v>
      </c>
    </row>
    <row r="160" spans="3:6" x14ac:dyDescent="0.25">
      <c r="F160" t="s">
        <v>244</v>
      </c>
    </row>
    <row r="161" spans="2:6" x14ac:dyDescent="0.25">
      <c r="F161" t="s">
        <v>260</v>
      </c>
    </row>
    <row r="162" spans="2:6" x14ac:dyDescent="0.25">
      <c r="F162" t="s">
        <v>236</v>
      </c>
    </row>
    <row r="163" spans="2:6" x14ac:dyDescent="0.25">
      <c r="D163" t="s">
        <v>61</v>
      </c>
      <c r="E163" t="s">
        <v>10</v>
      </c>
    </row>
    <row r="164" spans="2:6" x14ac:dyDescent="0.25">
      <c r="F164" t="s">
        <v>244</v>
      </c>
    </row>
    <row r="165" spans="2:6" x14ac:dyDescent="0.25">
      <c r="D165" t="s">
        <v>62</v>
      </c>
      <c r="E165" t="s">
        <v>10</v>
      </c>
    </row>
    <row r="166" spans="2:6" x14ac:dyDescent="0.25">
      <c r="F166" t="s">
        <v>244</v>
      </c>
    </row>
    <row r="167" spans="2:6" x14ac:dyDescent="0.25">
      <c r="D167" t="s">
        <v>63</v>
      </c>
      <c r="E167" t="s">
        <v>10</v>
      </c>
    </row>
    <row r="168" spans="2:6" x14ac:dyDescent="0.25">
      <c r="F168" t="s">
        <v>244</v>
      </c>
    </row>
    <row r="169" spans="2:6" x14ac:dyDescent="0.25">
      <c r="F169" t="s">
        <v>237</v>
      </c>
    </row>
    <row r="170" spans="2:6" x14ac:dyDescent="0.25">
      <c r="F170" t="s">
        <v>259</v>
      </c>
    </row>
    <row r="171" spans="2:6" x14ac:dyDescent="0.25">
      <c r="F171" t="s">
        <v>236</v>
      </c>
    </row>
    <row r="172" spans="2:6" x14ac:dyDescent="0.25">
      <c r="D172" t="s">
        <v>64</v>
      </c>
      <c r="E172" t="s">
        <v>10</v>
      </c>
    </row>
    <row r="173" spans="2:6" x14ac:dyDescent="0.25">
      <c r="F173" t="s">
        <v>244</v>
      </c>
    </row>
    <row r="174" spans="2:6" x14ac:dyDescent="0.25">
      <c r="D174" t="s">
        <v>65</v>
      </c>
      <c r="E174" t="s">
        <v>10</v>
      </c>
    </row>
    <row r="175" spans="2:6" x14ac:dyDescent="0.25">
      <c r="F175" t="s">
        <v>244</v>
      </c>
    </row>
    <row r="176" spans="2:6" x14ac:dyDescent="0.25">
      <c r="B176" t="s">
        <v>66</v>
      </c>
    </row>
    <row r="177" spans="3:6" x14ac:dyDescent="0.25">
      <c r="C177" t="s">
        <v>67</v>
      </c>
    </row>
    <row r="178" spans="3:6" x14ac:dyDescent="0.25">
      <c r="D178" t="s">
        <v>68</v>
      </c>
      <c r="E178" t="s">
        <v>9</v>
      </c>
    </row>
    <row r="179" spans="3:6" x14ac:dyDescent="0.25">
      <c r="F179" t="s">
        <v>237</v>
      </c>
    </row>
    <row r="180" spans="3:6" x14ac:dyDescent="0.25">
      <c r="F180" t="s">
        <v>235</v>
      </c>
    </row>
    <row r="181" spans="3:6" x14ac:dyDescent="0.25">
      <c r="F181" t="s">
        <v>236</v>
      </c>
    </row>
    <row r="182" spans="3:6" x14ac:dyDescent="0.25">
      <c r="D182" t="s">
        <v>69</v>
      </c>
      <c r="E182" t="s">
        <v>9</v>
      </c>
    </row>
    <row r="183" spans="3:6" x14ac:dyDescent="0.25">
      <c r="F183" t="s">
        <v>237</v>
      </c>
    </row>
    <row r="184" spans="3:6" x14ac:dyDescent="0.25">
      <c r="F184" t="s">
        <v>238</v>
      </c>
    </row>
    <row r="185" spans="3:6" x14ac:dyDescent="0.25">
      <c r="F185" t="s">
        <v>239</v>
      </c>
    </row>
    <row r="186" spans="3:6" x14ac:dyDescent="0.25">
      <c r="C186" t="s">
        <v>70</v>
      </c>
    </row>
    <row r="187" spans="3:6" x14ac:dyDescent="0.25">
      <c r="D187" t="s">
        <v>71</v>
      </c>
      <c r="E187" t="s">
        <v>14</v>
      </c>
    </row>
    <row r="188" spans="3:6" x14ac:dyDescent="0.25">
      <c r="F188" t="s">
        <v>240</v>
      </c>
    </row>
    <row r="189" spans="3:6" x14ac:dyDescent="0.25">
      <c r="F189" t="s">
        <v>250</v>
      </c>
    </row>
    <row r="190" spans="3:6" x14ac:dyDescent="0.25">
      <c r="F190" t="s">
        <v>241</v>
      </c>
    </row>
    <row r="191" spans="3:6" x14ac:dyDescent="0.25">
      <c r="F191" t="s">
        <v>251</v>
      </c>
    </row>
    <row r="192" spans="3:6" x14ac:dyDescent="0.25">
      <c r="F192" t="s">
        <v>246</v>
      </c>
    </row>
    <row r="193" spans="3:6" x14ac:dyDescent="0.25">
      <c r="F193" t="s">
        <v>249</v>
      </c>
    </row>
    <row r="194" spans="3:6" x14ac:dyDescent="0.25">
      <c r="F194" t="s">
        <v>247</v>
      </c>
    </row>
    <row r="195" spans="3:6" x14ac:dyDescent="0.25">
      <c r="D195" t="s">
        <v>72</v>
      </c>
      <c r="E195" t="s">
        <v>14</v>
      </c>
    </row>
    <row r="196" spans="3:6" x14ac:dyDescent="0.25">
      <c r="F196" t="s">
        <v>240</v>
      </c>
    </row>
    <row r="197" spans="3:6" x14ac:dyDescent="0.25">
      <c r="F197" t="s">
        <v>250</v>
      </c>
    </row>
    <row r="198" spans="3:6" x14ac:dyDescent="0.25">
      <c r="F198" t="s">
        <v>241</v>
      </c>
    </row>
    <row r="199" spans="3:6" x14ac:dyDescent="0.25">
      <c r="F199" t="s">
        <v>251</v>
      </c>
    </row>
    <row r="200" spans="3:6" x14ac:dyDescent="0.25">
      <c r="F200" t="s">
        <v>246</v>
      </c>
    </row>
    <row r="201" spans="3:6" x14ac:dyDescent="0.25">
      <c r="F201" t="s">
        <v>249</v>
      </c>
    </row>
    <row r="202" spans="3:6" x14ac:dyDescent="0.25">
      <c r="F202" t="s">
        <v>247</v>
      </c>
    </row>
    <row r="203" spans="3:6" x14ac:dyDescent="0.25">
      <c r="C203" t="s">
        <v>73</v>
      </c>
    </row>
    <row r="204" spans="3:6" x14ac:dyDescent="0.25">
      <c r="D204" t="s">
        <v>74</v>
      </c>
      <c r="E204" t="s">
        <v>10</v>
      </c>
    </row>
    <row r="205" spans="3:6" x14ac:dyDescent="0.25">
      <c r="F205" t="s">
        <v>244</v>
      </c>
    </row>
    <row r="206" spans="3:6" x14ac:dyDescent="0.25">
      <c r="F206" t="s">
        <v>236</v>
      </c>
    </row>
    <row r="207" spans="3:6" x14ac:dyDescent="0.25">
      <c r="D207" t="s">
        <v>75</v>
      </c>
      <c r="E207" t="s">
        <v>10</v>
      </c>
    </row>
    <row r="208" spans="3:6" x14ac:dyDescent="0.25">
      <c r="F208" t="s">
        <v>244</v>
      </c>
    </row>
    <row r="209" spans="3:6" x14ac:dyDescent="0.25">
      <c r="F209" t="s">
        <v>236</v>
      </c>
    </row>
    <row r="210" spans="3:6" x14ac:dyDescent="0.25">
      <c r="D210" t="s">
        <v>76</v>
      </c>
      <c r="E210" t="s">
        <v>10</v>
      </c>
    </row>
    <row r="211" spans="3:6" x14ac:dyDescent="0.25">
      <c r="F211" t="s">
        <v>244</v>
      </c>
    </row>
    <row r="212" spans="3:6" x14ac:dyDescent="0.25">
      <c r="F212" t="s">
        <v>236</v>
      </c>
    </row>
    <row r="213" spans="3:6" x14ac:dyDescent="0.25">
      <c r="C213" t="s">
        <v>77</v>
      </c>
    </row>
    <row r="214" spans="3:6" x14ac:dyDescent="0.25">
      <c r="D214" t="s">
        <v>78</v>
      </c>
      <c r="E214" t="s">
        <v>19</v>
      </c>
    </row>
    <row r="215" spans="3:6" x14ac:dyDescent="0.25">
      <c r="F215" t="s">
        <v>240</v>
      </c>
    </row>
    <row r="216" spans="3:6" x14ac:dyDescent="0.25">
      <c r="F216" t="s">
        <v>250</v>
      </c>
    </row>
    <row r="217" spans="3:6" x14ac:dyDescent="0.25">
      <c r="F217" t="s">
        <v>241</v>
      </c>
    </row>
    <row r="218" spans="3:6" x14ac:dyDescent="0.25">
      <c r="F218" t="s">
        <v>251</v>
      </c>
    </row>
    <row r="219" spans="3:6" x14ac:dyDescent="0.25">
      <c r="F219" t="s">
        <v>246</v>
      </c>
    </row>
    <row r="220" spans="3:6" x14ac:dyDescent="0.25">
      <c r="F220" t="s">
        <v>249</v>
      </c>
    </row>
    <row r="221" spans="3:6" x14ac:dyDescent="0.25">
      <c r="F221" t="s">
        <v>247</v>
      </c>
    </row>
    <row r="222" spans="3:6" x14ac:dyDescent="0.25">
      <c r="D222" t="s">
        <v>79</v>
      </c>
      <c r="E222" t="s">
        <v>19</v>
      </c>
    </row>
    <row r="223" spans="3:6" x14ac:dyDescent="0.25">
      <c r="F223" t="s">
        <v>240</v>
      </c>
    </row>
    <row r="224" spans="3:6" x14ac:dyDescent="0.25">
      <c r="F224" t="s">
        <v>250</v>
      </c>
    </row>
    <row r="225" spans="3:6" x14ac:dyDescent="0.25">
      <c r="F225" t="s">
        <v>241</v>
      </c>
    </row>
    <row r="226" spans="3:6" x14ac:dyDescent="0.25">
      <c r="F226" t="s">
        <v>251</v>
      </c>
    </row>
    <row r="227" spans="3:6" x14ac:dyDescent="0.25">
      <c r="F227" t="s">
        <v>246</v>
      </c>
    </row>
    <row r="228" spans="3:6" x14ac:dyDescent="0.25">
      <c r="F228" t="s">
        <v>249</v>
      </c>
    </row>
    <row r="229" spans="3:6" x14ac:dyDescent="0.25">
      <c r="F229" t="s">
        <v>247</v>
      </c>
    </row>
    <row r="230" spans="3:6" x14ac:dyDescent="0.25">
      <c r="C230" t="s">
        <v>80</v>
      </c>
    </row>
    <row r="231" spans="3:6" x14ac:dyDescent="0.25">
      <c r="D231" t="s">
        <v>81</v>
      </c>
      <c r="E231" t="s">
        <v>14</v>
      </c>
    </row>
    <row r="232" spans="3:6" x14ac:dyDescent="0.25">
      <c r="F232" t="s">
        <v>240</v>
      </c>
    </row>
    <row r="233" spans="3:6" x14ac:dyDescent="0.25">
      <c r="F233" t="s">
        <v>250</v>
      </c>
    </row>
    <row r="234" spans="3:6" x14ac:dyDescent="0.25">
      <c r="F234" t="s">
        <v>241</v>
      </c>
    </row>
    <row r="235" spans="3:6" x14ac:dyDescent="0.25">
      <c r="F235" t="s">
        <v>251</v>
      </c>
    </row>
    <row r="236" spans="3:6" x14ac:dyDescent="0.25">
      <c r="F236" t="s">
        <v>246</v>
      </c>
    </row>
    <row r="237" spans="3:6" x14ac:dyDescent="0.25">
      <c r="F237" t="s">
        <v>249</v>
      </c>
    </row>
    <row r="238" spans="3:6" x14ac:dyDescent="0.25">
      <c r="F238" t="s">
        <v>247</v>
      </c>
    </row>
    <row r="239" spans="3:6" x14ac:dyDescent="0.25">
      <c r="D239" t="s">
        <v>82</v>
      </c>
      <c r="E239" t="s">
        <v>14</v>
      </c>
    </row>
    <row r="240" spans="3:6" x14ac:dyDescent="0.25">
      <c r="F240" t="s">
        <v>240</v>
      </c>
    </row>
    <row r="241" spans="3:6" x14ac:dyDescent="0.25">
      <c r="F241" t="s">
        <v>250</v>
      </c>
    </row>
    <row r="242" spans="3:6" x14ac:dyDescent="0.25">
      <c r="F242" t="s">
        <v>241</v>
      </c>
    </row>
    <row r="243" spans="3:6" x14ac:dyDescent="0.25">
      <c r="F243" t="s">
        <v>251</v>
      </c>
    </row>
    <row r="244" spans="3:6" x14ac:dyDescent="0.25">
      <c r="F244" t="s">
        <v>246</v>
      </c>
    </row>
    <row r="245" spans="3:6" x14ac:dyDescent="0.25">
      <c r="F245" t="s">
        <v>249</v>
      </c>
    </row>
    <row r="246" spans="3:6" x14ac:dyDescent="0.25">
      <c r="F246" t="s">
        <v>247</v>
      </c>
    </row>
    <row r="247" spans="3:6" x14ac:dyDescent="0.25">
      <c r="C247" t="s">
        <v>83</v>
      </c>
    </row>
    <row r="248" spans="3:6" x14ac:dyDescent="0.25">
      <c r="D248" t="s">
        <v>84</v>
      </c>
      <c r="E248" t="s">
        <v>19</v>
      </c>
    </row>
    <row r="249" spans="3:6" x14ac:dyDescent="0.25">
      <c r="F249" t="s">
        <v>240</v>
      </c>
    </row>
    <row r="250" spans="3:6" x14ac:dyDescent="0.25">
      <c r="F250" t="s">
        <v>250</v>
      </c>
    </row>
    <row r="251" spans="3:6" x14ac:dyDescent="0.25">
      <c r="F251" t="s">
        <v>241</v>
      </c>
    </row>
    <row r="252" spans="3:6" x14ac:dyDescent="0.25">
      <c r="F252" t="s">
        <v>251</v>
      </c>
    </row>
    <row r="253" spans="3:6" x14ac:dyDescent="0.25">
      <c r="F253" t="s">
        <v>246</v>
      </c>
    </row>
    <row r="254" spans="3:6" x14ac:dyDescent="0.25">
      <c r="F254" t="s">
        <v>249</v>
      </c>
    </row>
    <row r="255" spans="3:6" x14ac:dyDescent="0.25">
      <c r="F255" t="s">
        <v>247</v>
      </c>
    </row>
    <row r="256" spans="3:6" x14ac:dyDescent="0.25">
      <c r="D256" t="s">
        <v>85</v>
      </c>
      <c r="E256" t="s">
        <v>19</v>
      </c>
    </row>
    <row r="257" spans="2:6" x14ac:dyDescent="0.25">
      <c r="F257" t="s">
        <v>240</v>
      </c>
    </row>
    <row r="258" spans="2:6" x14ac:dyDescent="0.25">
      <c r="F258" t="s">
        <v>250</v>
      </c>
    </row>
    <row r="259" spans="2:6" x14ac:dyDescent="0.25">
      <c r="F259" t="s">
        <v>241</v>
      </c>
    </row>
    <row r="260" spans="2:6" x14ac:dyDescent="0.25">
      <c r="F260" t="s">
        <v>251</v>
      </c>
    </row>
    <row r="261" spans="2:6" x14ac:dyDescent="0.25">
      <c r="F261" t="s">
        <v>246</v>
      </c>
    </row>
    <row r="262" spans="2:6" x14ac:dyDescent="0.25">
      <c r="F262" t="s">
        <v>249</v>
      </c>
    </row>
    <row r="263" spans="2:6" x14ac:dyDescent="0.25">
      <c r="F263" t="s">
        <v>247</v>
      </c>
    </row>
    <row r="264" spans="2:6" x14ac:dyDescent="0.25">
      <c r="D264" t="s">
        <v>86</v>
      </c>
      <c r="E264" t="s">
        <v>19</v>
      </c>
    </row>
    <row r="265" spans="2:6" x14ac:dyDescent="0.25">
      <c r="F265" t="s">
        <v>240</v>
      </c>
    </row>
    <row r="266" spans="2:6" x14ac:dyDescent="0.25">
      <c r="F266" t="s">
        <v>250</v>
      </c>
    </row>
    <row r="267" spans="2:6" x14ac:dyDescent="0.25">
      <c r="F267" t="s">
        <v>241</v>
      </c>
    </row>
    <row r="268" spans="2:6" x14ac:dyDescent="0.25">
      <c r="F268" t="s">
        <v>251</v>
      </c>
    </row>
    <row r="269" spans="2:6" x14ac:dyDescent="0.25">
      <c r="F269" t="s">
        <v>246</v>
      </c>
    </row>
    <row r="270" spans="2:6" x14ac:dyDescent="0.25">
      <c r="F270" t="s">
        <v>249</v>
      </c>
    </row>
    <row r="271" spans="2:6" x14ac:dyDescent="0.25">
      <c r="F271" t="s">
        <v>247</v>
      </c>
    </row>
    <row r="272" spans="2:6" x14ac:dyDescent="0.25">
      <c r="B272" t="s">
        <v>87</v>
      </c>
    </row>
    <row r="273" spans="3:6" x14ac:dyDescent="0.25">
      <c r="C273" t="s">
        <v>88</v>
      </c>
    </row>
    <row r="274" spans="3:6" x14ac:dyDescent="0.25">
      <c r="D274" t="s">
        <v>89</v>
      </c>
      <c r="E274" t="s">
        <v>9</v>
      </c>
    </row>
    <row r="275" spans="3:6" x14ac:dyDescent="0.25">
      <c r="F275" t="s">
        <v>237</v>
      </c>
    </row>
    <row r="276" spans="3:6" x14ac:dyDescent="0.25">
      <c r="F276" t="s">
        <v>235</v>
      </c>
    </row>
    <row r="277" spans="3:6" x14ac:dyDescent="0.25">
      <c r="F277" t="s">
        <v>236</v>
      </c>
    </row>
    <row r="278" spans="3:6" x14ac:dyDescent="0.25">
      <c r="D278" t="s">
        <v>90</v>
      </c>
      <c r="E278" t="s">
        <v>9</v>
      </c>
    </row>
    <row r="279" spans="3:6" x14ac:dyDescent="0.25">
      <c r="F279" t="s">
        <v>237</v>
      </c>
    </row>
    <row r="280" spans="3:6" x14ac:dyDescent="0.25">
      <c r="F280" t="s">
        <v>238</v>
      </c>
    </row>
    <row r="281" spans="3:6" x14ac:dyDescent="0.25">
      <c r="F281" t="s">
        <v>239</v>
      </c>
    </row>
    <row r="282" spans="3:6" x14ac:dyDescent="0.25">
      <c r="C282" t="s">
        <v>91</v>
      </c>
    </row>
    <row r="283" spans="3:6" x14ac:dyDescent="0.25">
      <c r="D283" t="s">
        <v>92</v>
      </c>
      <c r="E283" t="s">
        <v>14</v>
      </c>
    </row>
    <row r="284" spans="3:6" x14ac:dyDescent="0.25">
      <c r="F284" t="s">
        <v>240</v>
      </c>
    </row>
    <row r="285" spans="3:6" x14ac:dyDescent="0.25">
      <c r="F285" t="s">
        <v>250</v>
      </c>
    </row>
    <row r="286" spans="3:6" x14ac:dyDescent="0.25">
      <c r="F286" t="s">
        <v>241</v>
      </c>
    </row>
    <row r="287" spans="3:6" x14ac:dyDescent="0.25">
      <c r="F287" t="s">
        <v>251</v>
      </c>
    </row>
    <row r="288" spans="3:6" x14ac:dyDescent="0.25">
      <c r="F288" t="s">
        <v>246</v>
      </c>
    </row>
    <row r="289" spans="3:6" x14ac:dyDescent="0.25">
      <c r="F289" t="s">
        <v>249</v>
      </c>
    </row>
    <row r="290" spans="3:6" x14ac:dyDescent="0.25">
      <c r="F290" t="s">
        <v>247</v>
      </c>
    </row>
    <row r="291" spans="3:6" x14ac:dyDescent="0.25">
      <c r="D291" t="s">
        <v>93</v>
      </c>
      <c r="E291" t="s">
        <v>14</v>
      </c>
    </row>
    <row r="292" spans="3:6" x14ac:dyDescent="0.25">
      <c r="F292" t="s">
        <v>240</v>
      </c>
    </row>
    <row r="293" spans="3:6" x14ac:dyDescent="0.25">
      <c r="F293" t="s">
        <v>250</v>
      </c>
    </row>
    <row r="294" spans="3:6" x14ac:dyDescent="0.25">
      <c r="F294" t="s">
        <v>241</v>
      </c>
    </row>
    <row r="295" spans="3:6" x14ac:dyDescent="0.25">
      <c r="F295" t="s">
        <v>251</v>
      </c>
    </row>
    <row r="296" spans="3:6" x14ac:dyDescent="0.25">
      <c r="F296" t="s">
        <v>246</v>
      </c>
    </row>
    <row r="297" spans="3:6" x14ac:dyDescent="0.25">
      <c r="F297" t="s">
        <v>249</v>
      </c>
    </row>
    <row r="298" spans="3:6" x14ac:dyDescent="0.25">
      <c r="F298" t="s">
        <v>247</v>
      </c>
    </row>
    <row r="299" spans="3:6" x14ac:dyDescent="0.25">
      <c r="C299" t="s">
        <v>94</v>
      </c>
    </row>
    <row r="300" spans="3:6" x14ac:dyDescent="0.25">
      <c r="D300" t="s">
        <v>95</v>
      </c>
      <c r="E300" t="s">
        <v>10</v>
      </c>
    </row>
    <row r="301" spans="3:6" x14ac:dyDescent="0.25">
      <c r="F301" t="s">
        <v>244</v>
      </c>
    </row>
    <row r="302" spans="3:6" x14ac:dyDescent="0.25">
      <c r="F302" t="s">
        <v>236</v>
      </c>
    </row>
    <row r="303" spans="3:6" x14ac:dyDescent="0.25">
      <c r="D303" t="s">
        <v>96</v>
      </c>
      <c r="E303" t="s">
        <v>10</v>
      </c>
    </row>
    <row r="304" spans="3:6" x14ac:dyDescent="0.25">
      <c r="F304" t="s">
        <v>244</v>
      </c>
    </row>
    <row r="305" spans="3:6" x14ac:dyDescent="0.25">
      <c r="F305" t="s">
        <v>236</v>
      </c>
    </row>
    <row r="306" spans="3:6" x14ac:dyDescent="0.25">
      <c r="D306" t="s">
        <v>97</v>
      </c>
      <c r="E306" t="s">
        <v>10</v>
      </c>
    </row>
    <row r="307" spans="3:6" x14ac:dyDescent="0.25">
      <c r="F307" t="s">
        <v>244</v>
      </c>
    </row>
    <row r="308" spans="3:6" x14ac:dyDescent="0.25">
      <c r="F308" t="s">
        <v>236</v>
      </c>
    </row>
    <row r="309" spans="3:6" x14ac:dyDescent="0.25">
      <c r="C309" t="s">
        <v>98</v>
      </c>
    </row>
    <row r="310" spans="3:6" x14ac:dyDescent="0.25">
      <c r="D310" t="s">
        <v>99</v>
      </c>
      <c r="E310" t="s">
        <v>19</v>
      </c>
    </row>
    <row r="311" spans="3:6" x14ac:dyDescent="0.25">
      <c r="F311" t="s">
        <v>240</v>
      </c>
    </row>
    <row r="312" spans="3:6" x14ac:dyDescent="0.25">
      <c r="F312" t="s">
        <v>250</v>
      </c>
    </row>
    <row r="313" spans="3:6" x14ac:dyDescent="0.25">
      <c r="F313" t="s">
        <v>241</v>
      </c>
    </row>
    <row r="314" spans="3:6" x14ac:dyDescent="0.25">
      <c r="F314" t="s">
        <v>251</v>
      </c>
    </row>
    <row r="315" spans="3:6" x14ac:dyDescent="0.25">
      <c r="F315" t="s">
        <v>246</v>
      </c>
    </row>
    <row r="316" spans="3:6" x14ac:dyDescent="0.25">
      <c r="F316" t="s">
        <v>249</v>
      </c>
    </row>
    <row r="317" spans="3:6" x14ac:dyDescent="0.25">
      <c r="F317" t="s">
        <v>247</v>
      </c>
    </row>
    <row r="318" spans="3:6" x14ac:dyDescent="0.25">
      <c r="D318" t="s">
        <v>100</v>
      </c>
      <c r="E318" t="s">
        <v>19</v>
      </c>
    </row>
    <row r="319" spans="3:6" x14ac:dyDescent="0.25">
      <c r="F319" t="s">
        <v>240</v>
      </c>
    </row>
    <row r="320" spans="3:6" x14ac:dyDescent="0.25">
      <c r="F320" t="s">
        <v>250</v>
      </c>
    </row>
    <row r="321" spans="3:6" x14ac:dyDescent="0.25">
      <c r="F321" t="s">
        <v>241</v>
      </c>
    </row>
    <row r="322" spans="3:6" x14ac:dyDescent="0.25">
      <c r="F322" t="s">
        <v>251</v>
      </c>
    </row>
    <row r="323" spans="3:6" x14ac:dyDescent="0.25">
      <c r="F323" t="s">
        <v>246</v>
      </c>
    </row>
    <row r="324" spans="3:6" x14ac:dyDescent="0.25">
      <c r="F324" t="s">
        <v>249</v>
      </c>
    </row>
    <row r="325" spans="3:6" x14ac:dyDescent="0.25">
      <c r="F325" t="s">
        <v>247</v>
      </c>
    </row>
    <row r="326" spans="3:6" x14ac:dyDescent="0.25">
      <c r="D326" t="s">
        <v>101</v>
      </c>
      <c r="E326" t="s">
        <v>19</v>
      </c>
    </row>
    <row r="327" spans="3:6" x14ac:dyDescent="0.25">
      <c r="F327" t="s">
        <v>240</v>
      </c>
    </row>
    <row r="328" spans="3:6" x14ac:dyDescent="0.25">
      <c r="F328" t="s">
        <v>250</v>
      </c>
    </row>
    <row r="329" spans="3:6" x14ac:dyDescent="0.25">
      <c r="F329" t="s">
        <v>241</v>
      </c>
    </row>
    <row r="330" spans="3:6" x14ac:dyDescent="0.25">
      <c r="F330" t="s">
        <v>251</v>
      </c>
    </row>
    <row r="331" spans="3:6" x14ac:dyDescent="0.25">
      <c r="F331" t="s">
        <v>246</v>
      </c>
    </row>
    <row r="332" spans="3:6" x14ac:dyDescent="0.25">
      <c r="F332" t="s">
        <v>249</v>
      </c>
    </row>
    <row r="333" spans="3:6" x14ac:dyDescent="0.25">
      <c r="F333" t="s">
        <v>247</v>
      </c>
    </row>
    <row r="334" spans="3:6" x14ac:dyDescent="0.25">
      <c r="C334" t="s">
        <v>102</v>
      </c>
    </row>
    <row r="335" spans="3:6" x14ac:dyDescent="0.25">
      <c r="D335" t="s">
        <v>103</v>
      </c>
      <c r="E335" t="s">
        <v>14</v>
      </c>
    </row>
    <row r="336" spans="3:6" x14ac:dyDescent="0.25">
      <c r="F336" t="s">
        <v>240</v>
      </c>
    </row>
    <row r="337" spans="4:6" x14ac:dyDescent="0.25">
      <c r="F337" t="s">
        <v>250</v>
      </c>
    </row>
    <row r="338" spans="4:6" x14ac:dyDescent="0.25">
      <c r="F338" t="s">
        <v>241</v>
      </c>
    </row>
    <row r="339" spans="4:6" x14ac:dyDescent="0.25">
      <c r="F339" t="s">
        <v>251</v>
      </c>
    </row>
    <row r="340" spans="4:6" x14ac:dyDescent="0.25">
      <c r="F340" t="s">
        <v>246</v>
      </c>
    </row>
    <row r="341" spans="4:6" x14ac:dyDescent="0.25">
      <c r="F341" t="s">
        <v>249</v>
      </c>
    </row>
    <row r="342" spans="4:6" x14ac:dyDescent="0.25">
      <c r="F342" t="s">
        <v>247</v>
      </c>
    </row>
    <row r="343" spans="4:6" x14ac:dyDescent="0.25">
      <c r="D343" t="s">
        <v>104</v>
      </c>
      <c r="E343" t="s">
        <v>14</v>
      </c>
    </row>
    <row r="344" spans="4:6" x14ac:dyDescent="0.25">
      <c r="F344" t="s">
        <v>240</v>
      </c>
    </row>
    <row r="345" spans="4:6" x14ac:dyDescent="0.25">
      <c r="F345" t="s">
        <v>250</v>
      </c>
    </row>
    <row r="346" spans="4:6" x14ac:dyDescent="0.25">
      <c r="F346" t="s">
        <v>241</v>
      </c>
    </row>
    <row r="347" spans="4:6" x14ac:dyDescent="0.25">
      <c r="F347" t="s">
        <v>251</v>
      </c>
    </row>
    <row r="348" spans="4:6" x14ac:dyDescent="0.25">
      <c r="F348" t="s">
        <v>246</v>
      </c>
    </row>
    <row r="349" spans="4:6" x14ac:dyDescent="0.25">
      <c r="F349" t="s">
        <v>249</v>
      </c>
    </row>
    <row r="350" spans="4:6" x14ac:dyDescent="0.25">
      <c r="F350" t="s">
        <v>247</v>
      </c>
    </row>
    <row r="351" spans="4:6" x14ac:dyDescent="0.25">
      <c r="D351" t="s">
        <v>105</v>
      </c>
      <c r="E351" t="s">
        <v>14</v>
      </c>
    </row>
    <row r="352" spans="4:6" x14ac:dyDescent="0.25">
      <c r="F352" t="s">
        <v>240</v>
      </c>
    </row>
    <row r="353" spans="3:6" x14ac:dyDescent="0.25">
      <c r="F353" t="s">
        <v>250</v>
      </c>
    </row>
    <row r="354" spans="3:6" x14ac:dyDescent="0.25">
      <c r="F354" t="s">
        <v>241</v>
      </c>
    </row>
    <row r="355" spans="3:6" x14ac:dyDescent="0.25">
      <c r="F355" t="s">
        <v>251</v>
      </c>
    </row>
    <row r="356" spans="3:6" x14ac:dyDescent="0.25">
      <c r="F356" t="s">
        <v>246</v>
      </c>
    </row>
    <row r="357" spans="3:6" x14ac:dyDescent="0.25">
      <c r="F357" t="s">
        <v>249</v>
      </c>
    </row>
    <row r="358" spans="3:6" x14ac:dyDescent="0.25">
      <c r="F358" t="s">
        <v>247</v>
      </c>
    </row>
    <row r="359" spans="3:6" x14ac:dyDescent="0.25">
      <c r="C359" t="s">
        <v>106</v>
      </c>
    </row>
    <row r="360" spans="3:6" x14ac:dyDescent="0.25">
      <c r="D360" t="s">
        <v>107</v>
      </c>
      <c r="E360" t="s">
        <v>19</v>
      </c>
    </row>
    <row r="361" spans="3:6" x14ac:dyDescent="0.25">
      <c r="F361" t="s">
        <v>240</v>
      </c>
    </row>
    <row r="362" spans="3:6" x14ac:dyDescent="0.25">
      <c r="F362" t="s">
        <v>250</v>
      </c>
    </row>
    <row r="363" spans="3:6" x14ac:dyDescent="0.25">
      <c r="F363" t="s">
        <v>241</v>
      </c>
    </row>
    <row r="364" spans="3:6" x14ac:dyDescent="0.25">
      <c r="F364" t="s">
        <v>251</v>
      </c>
    </row>
    <row r="365" spans="3:6" x14ac:dyDescent="0.25">
      <c r="F365" t="s">
        <v>246</v>
      </c>
    </row>
    <row r="366" spans="3:6" x14ac:dyDescent="0.25">
      <c r="F366" t="s">
        <v>249</v>
      </c>
    </row>
    <row r="367" spans="3:6" x14ac:dyDescent="0.25">
      <c r="F367" t="s">
        <v>247</v>
      </c>
    </row>
    <row r="368" spans="3:6" x14ac:dyDescent="0.25">
      <c r="D368" t="s">
        <v>108</v>
      </c>
      <c r="E368" t="s">
        <v>19</v>
      </c>
    </row>
    <row r="369" spans="4:6" x14ac:dyDescent="0.25">
      <c r="F369" t="s">
        <v>240</v>
      </c>
    </row>
    <row r="370" spans="4:6" x14ac:dyDescent="0.25">
      <c r="F370" t="s">
        <v>250</v>
      </c>
    </row>
    <row r="371" spans="4:6" x14ac:dyDescent="0.25">
      <c r="F371" t="s">
        <v>241</v>
      </c>
    </row>
    <row r="372" spans="4:6" x14ac:dyDescent="0.25">
      <c r="F372" t="s">
        <v>251</v>
      </c>
    </row>
    <row r="373" spans="4:6" x14ac:dyDescent="0.25">
      <c r="F373" t="s">
        <v>246</v>
      </c>
    </row>
    <row r="374" spans="4:6" x14ac:dyDescent="0.25">
      <c r="F374" t="s">
        <v>249</v>
      </c>
    </row>
    <row r="375" spans="4:6" x14ac:dyDescent="0.25">
      <c r="F375" t="s">
        <v>247</v>
      </c>
    </row>
    <row r="376" spans="4:6" x14ac:dyDescent="0.25">
      <c r="D376" t="s">
        <v>109</v>
      </c>
      <c r="E376" t="s">
        <v>19</v>
      </c>
    </row>
    <row r="377" spans="4:6" x14ac:dyDescent="0.25">
      <c r="F377" t="s">
        <v>240</v>
      </c>
    </row>
    <row r="378" spans="4:6" x14ac:dyDescent="0.25">
      <c r="F378" t="s">
        <v>250</v>
      </c>
    </row>
    <row r="379" spans="4:6" x14ac:dyDescent="0.25">
      <c r="F379" t="s">
        <v>241</v>
      </c>
    </row>
    <row r="380" spans="4:6" x14ac:dyDescent="0.25">
      <c r="F380" t="s">
        <v>251</v>
      </c>
    </row>
    <row r="381" spans="4:6" x14ac:dyDescent="0.25">
      <c r="F381" t="s">
        <v>246</v>
      </c>
    </row>
    <row r="382" spans="4:6" x14ac:dyDescent="0.25">
      <c r="F382" t="s">
        <v>249</v>
      </c>
    </row>
    <row r="383" spans="4:6" x14ac:dyDescent="0.25">
      <c r="F383" t="s">
        <v>247</v>
      </c>
    </row>
    <row r="384" spans="4:6" x14ac:dyDescent="0.25">
      <c r="D384" t="s">
        <v>110</v>
      </c>
      <c r="E384" t="s">
        <v>19</v>
      </c>
    </row>
    <row r="385" spans="2:6" x14ac:dyDescent="0.25">
      <c r="F385" t="s">
        <v>240</v>
      </c>
    </row>
    <row r="386" spans="2:6" x14ac:dyDescent="0.25">
      <c r="F386" t="s">
        <v>250</v>
      </c>
    </row>
    <row r="387" spans="2:6" x14ac:dyDescent="0.25">
      <c r="F387" t="s">
        <v>241</v>
      </c>
    </row>
    <row r="388" spans="2:6" x14ac:dyDescent="0.25">
      <c r="F388" t="s">
        <v>251</v>
      </c>
    </row>
    <row r="389" spans="2:6" x14ac:dyDescent="0.25">
      <c r="F389" t="s">
        <v>246</v>
      </c>
    </row>
    <row r="390" spans="2:6" x14ac:dyDescent="0.25">
      <c r="F390" t="s">
        <v>249</v>
      </c>
    </row>
    <row r="391" spans="2:6" x14ac:dyDescent="0.25">
      <c r="F391" t="s">
        <v>247</v>
      </c>
    </row>
    <row r="392" spans="2:6" x14ac:dyDescent="0.25">
      <c r="B392" t="s">
        <v>111</v>
      </c>
    </row>
    <row r="393" spans="2:6" x14ac:dyDescent="0.25">
      <c r="C393" t="s">
        <v>112</v>
      </c>
    </row>
    <row r="394" spans="2:6" x14ac:dyDescent="0.25">
      <c r="D394" t="s">
        <v>113</v>
      </c>
      <c r="E394" t="s">
        <v>9</v>
      </c>
    </row>
    <row r="395" spans="2:6" x14ac:dyDescent="0.25">
      <c r="F395" t="s">
        <v>237</v>
      </c>
    </row>
    <row r="396" spans="2:6" x14ac:dyDescent="0.25">
      <c r="F396" t="s">
        <v>245</v>
      </c>
    </row>
    <row r="397" spans="2:6" x14ac:dyDescent="0.25">
      <c r="D397" t="s">
        <v>114</v>
      </c>
      <c r="E397" t="s">
        <v>9</v>
      </c>
    </row>
    <row r="398" spans="2:6" x14ac:dyDescent="0.25">
      <c r="F398" t="s">
        <v>237</v>
      </c>
    </row>
    <row r="399" spans="2:6" x14ac:dyDescent="0.25">
      <c r="F399" t="s">
        <v>235</v>
      </c>
    </row>
    <row r="400" spans="2:6" x14ac:dyDescent="0.25">
      <c r="F400" t="s">
        <v>236</v>
      </c>
    </row>
    <row r="401" spans="3:6" x14ac:dyDescent="0.25">
      <c r="D401" t="s">
        <v>115</v>
      </c>
      <c r="E401" t="s">
        <v>9</v>
      </c>
    </row>
    <row r="402" spans="3:6" x14ac:dyDescent="0.25">
      <c r="F402" t="s">
        <v>237</v>
      </c>
    </row>
    <row r="403" spans="3:6" x14ac:dyDescent="0.25">
      <c r="F403" t="s">
        <v>238</v>
      </c>
    </row>
    <row r="404" spans="3:6" x14ac:dyDescent="0.25">
      <c r="F404" t="s">
        <v>239</v>
      </c>
    </row>
    <row r="405" spans="3:6" ht="14.25" customHeight="1" x14ac:dyDescent="0.25">
      <c r="C405" t="s">
        <v>116</v>
      </c>
    </row>
    <row r="406" spans="3:6" x14ac:dyDescent="0.25">
      <c r="D406" t="s">
        <v>117</v>
      </c>
      <c r="E406" t="s">
        <v>14</v>
      </c>
    </row>
    <row r="407" spans="3:6" x14ac:dyDescent="0.25">
      <c r="F407" t="s">
        <v>240</v>
      </c>
    </row>
    <row r="408" spans="3:6" x14ac:dyDescent="0.25">
      <c r="F408" t="s">
        <v>250</v>
      </c>
    </row>
    <row r="409" spans="3:6" x14ac:dyDescent="0.25">
      <c r="F409" t="s">
        <v>241</v>
      </c>
    </row>
    <row r="410" spans="3:6" x14ac:dyDescent="0.25">
      <c r="F410" t="s">
        <v>251</v>
      </c>
    </row>
    <row r="411" spans="3:6" x14ac:dyDescent="0.25">
      <c r="F411" t="s">
        <v>246</v>
      </c>
    </row>
    <row r="412" spans="3:6" x14ac:dyDescent="0.25">
      <c r="F412" t="s">
        <v>249</v>
      </c>
    </row>
    <row r="413" spans="3:6" x14ac:dyDescent="0.25">
      <c r="F413" t="s">
        <v>247</v>
      </c>
    </row>
    <row r="414" spans="3:6" x14ac:dyDescent="0.25">
      <c r="F414" t="s">
        <v>248</v>
      </c>
    </row>
    <row r="415" spans="3:6" x14ac:dyDescent="0.25">
      <c r="D415" t="s">
        <v>118</v>
      </c>
      <c r="E415" t="s">
        <v>14</v>
      </c>
    </row>
    <row r="416" spans="3:6" x14ac:dyDescent="0.25">
      <c r="F416" t="s">
        <v>240</v>
      </c>
    </row>
    <row r="417" spans="3:6" x14ac:dyDescent="0.25">
      <c r="F417" t="s">
        <v>250</v>
      </c>
    </row>
    <row r="418" spans="3:6" x14ac:dyDescent="0.25">
      <c r="F418" t="s">
        <v>241</v>
      </c>
    </row>
    <row r="419" spans="3:6" x14ac:dyDescent="0.25">
      <c r="F419" t="s">
        <v>251</v>
      </c>
    </row>
    <row r="420" spans="3:6" x14ac:dyDescent="0.25">
      <c r="F420" t="s">
        <v>246</v>
      </c>
    </row>
    <row r="421" spans="3:6" x14ac:dyDescent="0.25">
      <c r="F421" t="s">
        <v>249</v>
      </c>
    </row>
    <row r="422" spans="3:6" x14ac:dyDescent="0.25">
      <c r="F422" t="s">
        <v>247</v>
      </c>
    </row>
    <row r="423" spans="3:6" x14ac:dyDescent="0.25">
      <c r="F423" t="s">
        <v>248</v>
      </c>
    </row>
    <row r="424" spans="3:6" x14ac:dyDescent="0.25">
      <c r="C424" t="s">
        <v>119</v>
      </c>
    </row>
    <row r="425" spans="3:6" x14ac:dyDescent="0.25">
      <c r="D425" t="s">
        <v>120</v>
      </c>
      <c r="E425" t="s">
        <v>10</v>
      </c>
    </row>
    <row r="426" spans="3:6" x14ac:dyDescent="0.25">
      <c r="F426" t="s">
        <v>244</v>
      </c>
    </row>
    <row r="427" spans="3:6" x14ac:dyDescent="0.25">
      <c r="F427" t="s">
        <v>236</v>
      </c>
    </row>
    <row r="428" spans="3:6" x14ac:dyDescent="0.25">
      <c r="D428" t="s">
        <v>121</v>
      </c>
      <c r="E428" t="s">
        <v>10</v>
      </c>
    </row>
    <row r="429" spans="3:6" x14ac:dyDescent="0.25">
      <c r="F429" t="s">
        <v>244</v>
      </c>
    </row>
    <row r="430" spans="3:6" x14ac:dyDescent="0.25">
      <c r="F430" t="s">
        <v>236</v>
      </c>
    </row>
    <row r="431" spans="3:6" x14ac:dyDescent="0.25">
      <c r="D431" t="s">
        <v>122</v>
      </c>
      <c r="E431" t="s">
        <v>10</v>
      </c>
    </row>
    <row r="432" spans="3:6" x14ac:dyDescent="0.25">
      <c r="F432" t="s">
        <v>244</v>
      </c>
    </row>
    <row r="433" spans="3:6" x14ac:dyDescent="0.25">
      <c r="C433" t="s">
        <v>123</v>
      </c>
    </row>
    <row r="434" spans="3:6" x14ac:dyDescent="0.25">
      <c r="D434" t="s">
        <v>124</v>
      </c>
      <c r="E434" t="s">
        <v>14</v>
      </c>
    </row>
    <row r="435" spans="3:6" x14ac:dyDescent="0.25">
      <c r="F435" t="s">
        <v>240</v>
      </c>
    </row>
    <row r="436" spans="3:6" x14ac:dyDescent="0.25">
      <c r="F436" t="s">
        <v>250</v>
      </c>
    </row>
    <row r="437" spans="3:6" x14ac:dyDescent="0.25">
      <c r="F437" t="s">
        <v>241</v>
      </c>
    </row>
    <row r="438" spans="3:6" x14ac:dyDescent="0.25">
      <c r="F438" t="s">
        <v>251</v>
      </c>
    </row>
    <row r="439" spans="3:6" x14ac:dyDescent="0.25">
      <c r="F439" t="s">
        <v>246</v>
      </c>
    </row>
    <row r="440" spans="3:6" x14ac:dyDescent="0.25">
      <c r="F440" t="s">
        <v>249</v>
      </c>
    </row>
    <row r="441" spans="3:6" x14ac:dyDescent="0.25">
      <c r="F441" t="s">
        <v>247</v>
      </c>
    </row>
    <row r="442" spans="3:6" x14ac:dyDescent="0.25">
      <c r="F442" t="s">
        <v>248</v>
      </c>
    </row>
    <row r="443" spans="3:6" x14ac:dyDescent="0.25">
      <c r="D443" t="s">
        <v>125</v>
      </c>
      <c r="E443" t="s">
        <v>14</v>
      </c>
    </row>
    <row r="444" spans="3:6" x14ac:dyDescent="0.25">
      <c r="F444" t="s">
        <v>240</v>
      </c>
    </row>
    <row r="445" spans="3:6" x14ac:dyDescent="0.25">
      <c r="F445" t="s">
        <v>250</v>
      </c>
    </row>
    <row r="446" spans="3:6" x14ac:dyDescent="0.25">
      <c r="F446" t="s">
        <v>241</v>
      </c>
    </row>
    <row r="447" spans="3:6" x14ac:dyDescent="0.25">
      <c r="F447" t="s">
        <v>251</v>
      </c>
    </row>
    <row r="448" spans="3:6" x14ac:dyDescent="0.25">
      <c r="F448" t="s">
        <v>246</v>
      </c>
    </row>
    <row r="449" spans="2:6" x14ac:dyDescent="0.25">
      <c r="F449" t="s">
        <v>249</v>
      </c>
    </row>
    <row r="450" spans="2:6" x14ac:dyDescent="0.25">
      <c r="F450" t="s">
        <v>247</v>
      </c>
    </row>
    <row r="451" spans="2:6" x14ac:dyDescent="0.25">
      <c r="F451" t="s">
        <v>248</v>
      </c>
    </row>
    <row r="452" spans="2:6" x14ac:dyDescent="0.25">
      <c r="B452" t="s">
        <v>126</v>
      </c>
    </row>
    <row r="453" spans="2:6" x14ac:dyDescent="0.25">
      <c r="C453" t="s">
        <v>127</v>
      </c>
    </row>
    <row r="454" spans="2:6" x14ac:dyDescent="0.25">
      <c r="D454" t="s">
        <v>128</v>
      </c>
      <c r="E454" t="s">
        <v>9</v>
      </c>
    </row>
    <row r="455" spans="2:6" x14ac:dyDescent="0.25">
      <c r="F455" t="s">
        <v>237</v>
      </c>
    </row>
    <row r="456" spans="2:6" x14ac:dyDescent="0.25">
      <c r="F456" t="s">
        <v>235</v>
      </c>
    </row>
    <row r="457" spans="2:6" x14ac:dyDescent="0.25">
      <c r="F457" t="s">
        <v>236</v>
      </c>
    </row>
    <row r="458" spans="2:6" x14ac:dyDescent="0.25">
      <c r="D458" t="s">
        <v>129</v>
      </c>
      <c r="E458" t="s">
        <v>9</v>
      </c>
    </row>
    <row r="459" spans="2:6" x14ac:dyDescent="0.25">
      <c r="F459" t="s">
        <v>237</v>
      </c>
    </row>
    <row r="460" spans="2:6" x14ac:dyDescent="0.25">
      <c r="F460" t="s">
        <v>238</v>
      </c>
    </row>
    <row r="461" spans="2:6" x14ac:dyDescent="0.25">
      <c r="F461" t="s">
        <v>239</v>
      </c>
    </row>
    <row r="462" spans="2:6" x14ac:dyDescent="0.25">
      <c r="C462" t="s">
        <v>130</v>
      </c>
    </row>
    <row r="463" spans="2:6" x14ac:dyDescent="0.25">
      <c r="D463" t="s">
        <v>131</v>
      </c>
      <c r="E463" t="s">
        <v>14</v>
      </c>
    </row>
    <row r="464" spans="2:6" x14ac:dyDescent="0.25">
      <c r="F464" t="s">
        <v>240</v>
      </c>
    </row>
    <row r="465" spans="4:6" x14ac:dyDescent="0.25">
      <c r="F465" t="s">
        <v>250</v>
      </c>
    </row>
    <row r="466" spans="4:6" x14ac:dyDescent="0.25">
      <c r="F466" t="s">
        <v>241</v>
      </c>
    </row>
    <row r="467" spans="4:6" x14ac:dyDescent="0.25">
      <c r="F467" t="s">
        <v>251</v>
      </c>
    </row>
    <row r="468" spans="4:6" x14ac:dyDescent="0.25">
      <c r="F468" t="s">
        <v>246</v>
      </c>
    </row>
    <row r="469" spans="4:6" x14ac:dyDescent="0.25">
      <c r="F469" t="s">
        <v>249</v>
      </c>
    </row>
    <row r="470" spans="4:6" x14ac:dyDescent="0.25">
      <c r="F470" t="s">
        <v>247</v>
      </c>
    </row>
    <row r="471" spans="4:6" x14ac:dyDescent="0.25">
      <c r="D471" t="s">
        <v>132</v>
      </c>
      <c r="E471" t="s">
        <v>14</v>
      </c>
    </row>
    <row r="472" spans="4:6" x14ac:dyDescent="0.25">
      <c r="F472" t="s">
        <v>240</v>
      </c>
    </row>
    <row r="473" spans="4:6" x14ac:dyDescent="0.25">
      <c r="F473" t="s">
        <v>250</v>
      </c>
    </row>
    <row r="474" spans="4:6" x14ac:dyDescent="0.25">
      <c r="F474" t="s">
        <v>241</v>
      </c>
    </row>
    <row r="475" spans="4:6" x14ac:dyDescent="0.25">
      <c r="F475" t="s">
        <v>251</v>
      </c>
    </row>
    <row r="476" spans="4:6" x14ac:dyDescent="0.25">
      <c r="F476" t="s">
        <v>246</v>
      </c>
    </row>
    <row r="477" spans="4:6" x14ac:dyDescent="0.25">
      <c r="F477" t="s">
        <v>249</v>
      </c>
    </row>
    <row r="478" spans="4:6" x14ac:dyDescent="0.25">
      <c r="F478" t="s">
        <v>247</v>
      </c>
    </row>
    <row r="479" spans="4:6" x14ac:dyDescent="0.25">
      <c r="D479" t="s">
        <v>133</v>
      </c>
      <c r="E479" t="s">
        <v>14</v>
      </c>
    </row>
    <row r="480" spans="4:6" x14ac:dyDescent="0.25">
      <c r="F480" t="s">
        <v>240</v>
      </c>
    </row>
    <row r="481" spans="3:6" x14ac:dyDescent="0.25">
      <c r="F481" t="s">
        <v>250</v>
      </c>
    </row>
    <row r="482" spans="3:6" x14ac:dyDescent="0.25">
      <c r="F482" t="s">
        <v>241</v>
      </c>
    </row>
    <row r="483" spans="3:6" x14ac:dyDescent="0.25">
      <c r="F483" t="s">
        <v>251</v>
      </c>
    </row>
    <row r="484" spans="3:6" x14ac:dyDescent="0.25">
      <c r="F484" t="s">
        <v>246</v>
      </c>
    </row>
    <row r="485" spans="3:6" x14ac:dyDescent="0.25">
      <c r="F485" t="s">
        <v>249</v>
      </c>
    </row>
    <row r="486" spans="3:6" x14ac:dyDescent="0.25">
      <c r="F486" t="s">
        <v>247</v>
      </c>
    </row>
    <row r="487" spans="3:6" x14ac:dyDescent="0.25">
      <c r="D487" t="s">
        <v>134</v>
      </c>
      <c r="E487" t="s">
        <v>14</v>
      </c>
    </row>
    <row r="488" spans="3:6" x14ac:dyDescent="0.25">
      <c r="F488" t="s">
        <v>240</v>
      </c>
    </row>
    <row r="489" spans="3:6" x14ac:dyDescent="0.25">
      <c r="F489" t="s">
        <v>250</v>
      </c>
    </row>
    <row r="490" spans="3:6" x14ac:dyDescent="0.25">
      <c r="F490" t="s">
        <v>241</v>
      </c>
    </row>
    <row r="491" spans="3:6" x14ac:dyDescent="0.25">
      <c r="F491" t="s">
        <v>251</v>
      </c>
    </row>
    <row r="492" spans="3:6" x14ac:dyDescent="0.25">
      <c r="F492" t="s">
        <v>246</v>
      </c>
    </row>
    <row r="493" spans="3:6" x14ac:dyDescent="0.25">
      <c r="F493" t="s">
        <v>249</v>
      </c>
    </row>
    <row r="494" spans="3:6" x14ac:dyDescent="0.25">
      <c r="F494" t="s">
        <v>247</v>
      </c>
    </row>
    <row r="495" spans="3:6" x14ac:dyDescent="0.25">
      <c r="C495" t="s">
        <v>135</v>
      </c>
    </row>
    <row r="496" spans="3:6" x14ac:dyDescent="0.25">
      <c r="D496" t="s">
        <v>136</v>
      </c>
      <c r="E496" t="s">
        <v>10</v>
      </c>
    </row>
    <row r="497" spans="3:6" x14ac:dyDescent="0.25">
      <c r="F497" t="s">
        <v>244</v>
      </c>
    </row>
    <row r="498" spans="3:6" x14ac:dyDescent="0.25">
      <c r="F498" t="s">
        <v>236</v>
      </c>
    </row>
    <row r="499" spans="3:6" x14ac:dyDescent="0.25">
      <c r="D499" t="s">
        <v>137</v>
      </c>
      <c r="E499" t="s">
        <v>10</v>
      </c>
    </row>
    <row r="500" spans="3:6" x14ac:dyDescent="0.25">
      <c r="F500" t="s">
        <v>244</v>
      </c>
    </row>
    <row r="501" spans="3:6" x14ac:dyDescent="0.25">
      <c r="F501" t="s">
        <v>236</v>
      </c>
    </row>
    <row r="502" spans="3:6" x14ac:dyDescent="0.25">
      <c r="D502" t="s">
        <v>138</v>
      </c>
      <c r="E502" t="s">
        <v>10</v>
      </c>
    </row>
    <row r="503" spans="3:6" x14ac:dyDescent="0.25">
      <c r="F503" t="s">
        <v>244</v>
      </c>
    </row>
    <row r="504" spans="3:6" x14ac:dyDescent="0.25">
      <c r="C504" t="s">
        <v>139</v>
      </c>
    </row>
    <row r="505" spans="3:6" x14ac:dyDescent="0.25">
      <c r="D505" t="s">
        <v>140</v>
      </c>
      <c r="E505" t="s">
        <v>19</v>
      </c>
    </row>
    <row r="506" spans="3:6" x14ac:dyDescent="0.25">
      <c r="F506" t="s">
        <v>240</v>
      </c>
    </row>
    <row r="507" spans="3:6" x14ac:dyDescent="0.25">
      <c r="F507" t="s">
        <v>250</v>
      </c>
    </row>
    <row r="508" spans="3:6" x14ac:dyDescent="0.25">
      <c r="F508" t="s">
        <v>241</v>
      </c>
    </row>
    <row r="509" spans="3:6" x14ac:dyDescent="0.25">
      <c r="F509" t="s">
        <v>251</v>
      </c>
    </row>
    <row r="510" spans="3:6" x14ac:dyDescent="0.25">
      <c r="F510" t="s">
        <v>246</v>
      </c>
    </row>
    <row r="511" spans="3:6" x14ac:dyDescent="0.25">
      <c r="F511" t="s">
        <v>249</v>
      </c>
    </row>
    <row r="512" spans="3:6" x14ac:dyDescent="0.25">
      <c r="F512" t="s">
        <v>247</v>
      </c>
    </row>
    <row r="513" spans="4:6" x14ac:dyDescent="0.25">
      <c r="D513" t="s">
        <v>141</v>
      </c>
      <c r="E513" t="s">
        <v>19</v>
      </c>
    </row>
    <row r="514" spans="4:6" x14ac:dyDescent="0.25">
      <c r="F514" t="s">
        <v>240</v>
      </c>
    </row>
    <row r="515" spans="4:6" x14ac:dyDescent="0.25">
      <c r="F515" t="s">
        <v>250</v>
      </c>
    </row>
    <row r="516" spans="4:6" x14ac:dyDescent="0.25">
      <c r="F516" t="s">
        <v>241</v>
      </c>
    </row>
    <row r="517" spans="4:6" x14ac:dyDescent="0.25">
      <c r="F517" t="s">
        <v>251</v>
      </c>
    </row>
    <row r="518" spans="4:6" x14ac:dyDescent="0.25">
      <c r="F518" t="s">
        <v>246</v>
      </c>
    </row>
    <row r="519" spans="4:6" x14ac:dyDescent="0.25">
      <c r="F519" t="s">
        <v>249</v>
      </c>
    </row>
    <row r="520" spans="4:6" x14ac:dyDescent="0.25">
      <c r="F520" t="s">
        <v>247</v>
      </c>
    </row>
    <row r="521" spans="4:6" x14ac:dyDescent="0.25">
      <c r="D521" t="s">
        <v>142</v>
      </c>
      <c r="E521" t="s">
        <v>19</v>
      </c>
    </row>
    <row r="522" spans="4:6" x14ac:dyDescent="0.25">
      <c r="F522" t="s">
        <v>240</v>
      </c>
    </row>
    <row r="523" spans="4:6" x14ac:dyDescent="0.25">
      <c r="F523" t="s">
        <v>250</v>
      </c>
    </row>
    <row r="524" spans="4:6" x14ac:dyDescent="0.25">
      <c r="F524" t="s">
        <v>241</v>
      </c>
    </row>
    <row r="525" spans="4:6" x14ac:dyDescent="0.25">
      <c r="F525" t="s">
        <v>251</v>
      </c>
    </row>
    <row r="526" spans="4:6" x14ac:dyDescent="0.25">
      <c r="F526" t="s">
        <v>246</v>
      </c>
    </row>
    <row r="527" spans="4:6" x14ac:dyDescent="0.25">
      <c r="F527" t="s">
        <v>249</v>
      </c>
    </row>
    <row r="528" spans="4:6" x14ac:dyDescent="0.25">
      <c r="F528" t="s">
        <v>247</v>
      </c>
    </row>
    <row r="529" spans="3:6" x14ac:dyDescent="0.25">
      <c r="D529" t="s">
        <v>143</v>
      </c>
      <c r="E529" t="s">
        <v>19</v>
      </c>
    </row>
    <row r="530" spans="3:6" x14ac:dyDescent="0.25">
      <c r="F530" t="s">
        <v>240</v>
      </c>
    </row>
    <row r="531" spans="3:6" x14ac:dyDescent="0.25">
      <c r="F531" t="s">
        <v>250</v>
      </c>
    </row>
    <row r="532" spans="3:6" x14ac:dyDescent="0.25">
      <c r="F532" t="s">
        <v>241</v>
      </c>
    </row>
    <row r="533" spans="3:6" x14ac:dyDescent="0.25">
      <c r="F533" t="s">
        <v>251</v>
      </c>
    </row>
    <row r="534" spans="3:6" x14ac:dyDescent="0.25">
      <c r="F534" t="s">
        <v>246</v>
      </c>
    </row>
    <row r="535" spans="3:6" x14ac:dyDescent="0.25">
      <c r="F535" t="s">
        <v>249</v>
      </c>
    </row>
    <row r="536" spans="3:6" x14ac:dyDescent="0.25">
      <c r="F536" t="s">
        <v>247</v>
      </c>
    </row>
    <row r="537" spans="3:6" x14ac:dyDescent="0.25">
      <c r="C537" t="s">
        <v>144</v>
      </c>
    </row>
    <row r="538" spans="3:6" x14ac:dyDescent="0.25">
      <c r="D538" t="s">
        <v>145</v>
      </c>
      <c r="E538" t="s">
        <v>14</v>
      </c>
    </row>
    <row r="539" spans="3:6" x14ac:dyDescent="0.25">
      <c r="F539" t="s">
        <v>240</v>
      </c>
    </row>
    <row r="540" spans="3:6" x14ac:dyDescent="0.25">
      <c r="F540" t="s">
        <v>250</v>
      </c>
    </row>
    <row r="541" spans="3:6" x14ac:dyDescent="0.25">
      <c r="F541" t="s">
        <v>241</v>
      </c>
    </row>
    <row r="542" spans="3:6" x14ac:dyDescent="0.25">
      <c r="F542" t="s">
        <v>251</v>
      </c>
    </row>
    <row r="543" spans="3:6" x14ac:dyDescent="0.25">
      <c r="F543" t="s">
        <v>246</v>
      </c>
    </row>
    <row r="544" spans="3:6" x14ac:dyDescent="0.25">
      <c r="F544" t="s">
        <v>249</v>
      </c>
    </row>
    <row r="545" spans="4:6" x14ac:dyDescent="0.25">
      <c r="F545" t="s">
        <v>247</v>
      </c>
    </row>
    <row r="546" spans="4:6" x14ac:dyDescent="0.25">
      <c r="D546" t="s">
        <v>146</v>
      </c>
      <c r="E546" t="s">
        <v>14</v>
      </c>
    </row>
    <row r="547" spans="4:6" x14ac:dyDescent="0.25">
      <c r="F547" t="s">
        <v>240</v>
      </c>
    </row>
    <row r="548" spans="4:6" x14ac:dyDescent="0.25">
      <c r="F548" t="s">
        <v>250</v>
      </c>
    </row>
    <row r="549" spans="4:6" x14ac:dyDescent="0.25">
      <c r="F549" t="s">
        <v>241</v>
      </c>
    </row>
    <row r="550" spans="4:6" x14ac:dyDescent="0.25">
      <c r="F550" t="s">
        <v>251</v>
      </c>
    </row>
    <row r="551" spans="4:6" x14ac:dyDescent="0.25">
      <c r="F551" t="s">
        <v>246</v>
      </c>
    </row>
    <row r="552" spans="4:6" x14ac:dyDescent="0.25">
      <c r="F552" t="s">
        <v>249</v>
      </c>
    </row>
    <row r="553" spans="4:6" x14ac:dyDescent="0.25">
      <c r="F553" t="s">
        <v>247</v>
      </c>
    </row>
    <row r="554" spans="4:6" x14ac:dyDescent="0.25">
      <c r="D554" t="s">
        <v>147</v>
      </c>
      <c r="E554" t="s">
        <v>14</v>
      </c>
    </row>
    <row r="555" spans="4:6" x14ac:dyDescent="0.25">
      <c r="F555" t="s">
        <v>240</v>
      </c>
    </row>
    <row r="556" spans="4:6" x14ac:dyDescent="0.25">
      <c r="F556" t="s">
        <v>250</v>
      </c>
    </row>
    <row r="557" spans="4:6" x14ac:dyDescent="0.25">
      <c r="F557" t="s">
        <v>241</v>
      </c>
    </row>
    <row r="558" spans="4:6" x14ac:dyDescent="0.25">
      <c r="F558" t="s">
        <v>251</v>
      </c>
    </row>
    <row r="559" spans="4:6" x14ac:dyDescent="0.25">
      <c r="F559" t="s">
        <v>246</v>
      </c>
    </row>
    <row r="560" spans="4:6" x14ac:dyDescent="0.25">
      <c r="F560" t="s">
        <v>249</v>
      </c>
    </row>
    <row r="561" spans="3:6" x14ac:dyDescent="0.25">
      <c r="F561" t="s">
        <v>247</v>
      </c>
    </row>
    <row r="562" spans="3:6" x14ac:dyDescent="0.25">
      <c r="C562" t="s">
        <v>148</v>
      </c>
    </row>
    <row r="563" spans="3:6" x14ac:dyDescent="0.25">
      <c r="D563" t="s">
        <v>149</v>
      </c>
      <c r="E563" t="s">
        <v>19</v>
      </c>
    </row>
    <row r="564" spans="3:6" x14ac:dyDescent="0.25">
      <c r="F564" t="s">
        <v>240</v>
      </c>
    </row>
    <row r="565" spans="3:6" x14ac:dyDescent="0.25">
      <c r="F565" t="s">
        <v>250</v>
      </c>
    </row>
    <row r="566" spans="3:6" x14ac:dyDescent="0.25">
      <c r="F566" t="s">
        <v>241</v>
      </c>
    </row>
    <row r="567" spans="3:6" x14ac:dyDescent="0.25">
      <c r="F567" t="s">
        <v>251</v>
      </c>
    </row>
    <row r="568" spans="3:6" x14ac:dyDescent="0.25">
      <c r="F568" t="s">
        <v>246</v>
      </c>
    </row>
    <row r="569" spans="3:6" x14ac:dyDescent="0.25">
      <c r="F569" t="s">
        <v>249</v>
      </c>
    </row>
    <row r="570" spans="3:6" x14ac:dyDescent="0.25">
      <c r="F570" t="s">
        <v>247</v>
      </c>
    </row>
    <row r="571" spans="3:6" x14ac:dyDescent="0.25">
      <c r="D571" t="s">
        <v>150</v>
      </c>
      <c r="E571" t="s">
        <v>19</v>
      </c>
    </row>
    <row r="572" spans="3:6" x14ac:dyDescent="0.25">
      <c r="F572" t="s">
        <v>240</v>
      </c>
    </row>
    <row r="573" spans="3:6" x14ac:dyDescent="0.25">
      <c r="F573" t="s">
        <v>250</v>
      </c>
    </row>
    <row r="574" spans="3:6" x14ac:dyDescent="0.25">
      <c r="F574" t="s">
        <v>241</v>
      </c>
    </row>
    <row r="575" spans="3:6" x14ac:dyDescent="0.25">
      <c r="F575" t="s">
        <v>251</v>
      </c>
    </row>
    <row r="576" spans="3:6" x14ac:dyDescent="0.25">
      <c r="F576" t="s">
        <v>246</v>
      </c>
    </row>
    <row r="577" spans="4:6" x14ac:dyDescent="0.25">
      <c r="F577" t="s">
        <v>249</v>
      </c>
    </row>
    <row r="578" spans="4:6" x14ac:dyDescent="0.25">
      <c r="F578" t="s">
        <v>247</v>
      </c>
    </row>
    <row r="579" spans="4:6" x14ac:dyDescent="0.25">
      <c r="D579" t="s">
        <v>151</v>
      </c>
      <c r="E579" t="s">
        <v>19</v>
      </c>
    </row>
    <row r="580" spans="4:6" x14ac:dyDescent="0.25">
      <c r="F580" t="s">
        <v>240</v>
      </c>
    </row>
    <row r="581" spans="4:6" x14ac:dyDescent="0.25">
      <c r="F581" t="s">
        <v>250</v>
      </c>
    </row>
    <row r="582" spans="4:6" x14ac:dyDescent="0.25">
      <c r="F582" t="s">
        <v>241</v>
      </c>
    </row>
    <row r="583" spans="4:6" x14ac:dyDescent="0.25">
      <c r="F583" t="s">
        <v>251</v>
      </c>
    </row>
    <row r="584" spans="4:6" x14ac:dyDescent="0.25">
      <c r="F584" t="s">
        <v>246</v>
      </c>
    </row>
    <row r="585" spans="4:6" x14ac:dyDescent="0.25">
      <c r="F585" t="s">
        <v>249</v>
      </c>
    </row>
    <row r="586" spans="4:6" x14ac:dyDescent="0.25">
      <c r="F586" t="s">
        <v>247</v>
      </c>
    </row>
    <row r="587" spans="4:6" x14ac:dyDescent="0.25">
      <c r="D587" t="s">
        <v>152</v>
      </c>
      <c r="E587" t="s">
        <v>19</v>
      </c>
    </row>
    <row r="588" spans="4:6" x14ac:dyDescent="0.25">
      <c r="F588" t="s">
        <v>240</v>
      </c>
    </row>
    <row r="589" spans="4:6" x14ac:dyDescent="0.25">
      <c r="F589" t="s">
        <v>250</v>
      </c>
    </row>
    <row r="590" spans="4:6" x14ac:dyDescent="0.25">
      <c r="F590" t="s">
        <v>241</v>
      </c>
    </row>
    <row r="591" spans="4:6" x14ac:dyDescent="0.25">
      <c r="F591" t="s">
        <v>251</v>
      </c>
    </row>
    <row r="592" spans="4:6" x14ac:dyDescent="0.25">
      <c r="F592" t="s">
        <v>246</v>
      </c>
    </row>
    <row r="593" spans="2:6" x14ac:dyDescent="0.25">
      <c r="F593" t="s">
        <v>249</v>
      </c>
    </row>
    <row r="594" spans="2:6" x14ac:dyDescent="0.25">
      <c r="F594" t="s">
        <v>247</v>
      </c>
    </row>
    <row r="595" spans="2:6" x14ac:dyDescent="0.25">
      <c r="D595" t="s">
        <v>153</v>
      </c>
      <c r="E595" t="s">
        <v>19</v>
      </c>
    </row>
    <row r="596" spans="2:6" x14ac:dyDescent="0.25">
      <c r="F596" t="s">
        <v>240</v>
      </c>
    </row>
    <row r="597" spans="2:6" x14ac:dyDescent="0.25">
      <c r="F597" t="s">
        <v>250</v>
      </c>
    </row>
    <row r="598" spans="2:6" x14ac:dyDescent="0.25">
      <c r="F598" t="s">
        <v>241</v>
      </c>
    </row>
    <row r="599" spans="2:6" x14ac:dyDescent="0.25">
      <c r="F599" t="s">
        <v>251</v>
      </c>
    </row>
    <row r="600" spans="2:6" x14ac:dyDescent="0.25">
      <c r="F600" t="s">
        <v>246</v>
      </c>
    </row>
    <row r="601" spans="2:6" x14ac:dyDescent="0.25">
      <c r="F601" t="s">
        <v>249</v>
      </c>
    </row>
    <row r="602" spans="2:6" x14ac:dyDescent="0.25">
      <c r="F602" t="s">
        <v>247</v>
      </c>
    </row>
    <row r="603" spans="2:6" x14ac:dyDescent="0.25">
      <c r="B603" t="s">
        <v>154</v>
      </c>
    </row>
    <row r="604" spans="2:6" x14ac:dyDescent="0.25">
      <c r="C604" t="s">
        <v>155</v>
      </c>
    </row>
    <row r="605" spans="2:6" x14ac:dyDescent="0.25">
      <c r="D605" t="s">
        <v>156</v>
      </c>
      <c r="E605" t="s">
        <v>1</v>
      </c>
    </row>
    <row r="606" spans="2:6" x14ac:dyDescent="0.25">
      <c r="F606" t="s">
        <v>244</v>
      </c>
    </row>
    <row r="607" spans="2:6" x14ac:dyDescent="0.25">
      <c r="F607" t="s">
        <v>257</v>
      </c>
    </row>
    <row r="608" spans="2:6" x14ac:dyDescent="0.25">
      <c r="F608" t="s">
        <v>259</v>
      </c>
    </row>
    <row r="609" spans="3:6" x14ac:dyDescent="0.25">
      <c r="F609" t="s">
        <v>236</v>
      </c>
    </row>
    <row r="610" spans="3:6" x14ac:dyDescent="0.25">
      <c r="C610" t="s">
        <v>157</v>
      </c>
    </row>
    <row r="611" spans="3:6" x14ac:dyDescent="0.25">
      <c r="D611" t="s">
        <v>158</v>
      </c>
      <c r="E611" t="s">
        <v>9</v>
      </c>
    </row>
    <row r="612" spans="3:6" x14ac:dyDescent="0.25">
      <c r="F612" t="s">
        <v>476</v>
      </c>
    </row>
    <row r="613" spans="3:6" x14ac:dyDescent="0.25">
      <c r="D613" t="s">
        <v>159</v>
      </c>
      <c r="E613" t="s">
        <v>9</v>
      </c>
    </row>
    <row r="614" spans="3:6" x14ac:dyDescent="0.25">
      <c r="F614" t="s">
        <v>477</v>
      </c>
    </row>
    <row r="615" spans="3:6" x14ac:dyDescent="0.25">
      <c r="F615" t="s">
        <v>259</v>
      </c>
    </row>
    <row r="616" spans="3:6" x14ac:dyDescent="0.25">
      <c r="D616" t="s">
        <v>160</v>
      </c>
      <c r="E616" t="s">
        <v>9</v>
      </c>
    </row>
    <row r="617" spans="3:6" x14ac:dyDescent="0.25">
      <c r="F617" t="s">
        <v>236</v>
      </c>
    </row>
    <row r="618" spans="3:6" x14ac:dyDescent="0.25">
      <c r="D618" t="s">
        <v>161</v>
      </c>
      <c r="E618" t="s">
        <v>9</v>
      </c>
    </row>
    <row r="619" spans="3:6" x14ac:dyDescent="0.25">
      <c r="F619" t="s">
        <v>237</v>
      </c>
    </row>
    <row r="620" spans="3:6" x14ac:dyDescent="0.25">
      <c r="F620" t="s">
        <v>235</v>
      </c>
    </row>
    <row r="621" spans="3:6" x14ac:dyDescent="0.25">
      <c r="F621" t="s">
        <v>236</v>
      </c>
    </row>
    <row r="622" spans="3:6" x14ac:dyDescent="0.25">
      <c r="D622" t="s">
        <v>162</v>
      </c>
      <c r="E622" t="s">
        <v>9</v>
      </c>
      <c r="F622" t="s">
        <v>233</v>
      </c>
    </row>
    <row r="623" spans="3:6" x14ac:dyDescent="0.25">
      <c r="F623" t="s">
        <v>238</v>
      </c>
    </row>
    <row r="624" spans="3:6" x14ac:dyDescent="0.25">
      <c r="F624" t="s">
        <v>239</v>
      </c>
    </row>
    <row r="625" spans="3:6" x14ac:dyDescent="0.25">
      <c r="C625" t="s">
        <v>163</v>
      </c>
    </row>
    <row r="626" spans="3:6" x14ac:dyDescent="0.25">
      <c r="D626" t="s">
        <v>165</v>
      </c>
      <c r="E626" t="s">
        <v>164</v>
      </c>
    </row>
    <row r="627" spans="3:6" x14ac:dyDescent="0.25">
      <c r="F627" t="s">
        <v>478</v>
      </c>
    </row>
    <row r="628" spans="3:6" x14ac:dyDescent="0.25">
      <c r="F628" t="s">
        <v>479</v>
      </c>
    </row>
    <row r="629" spans="3:6" x14ac:dyDescent="0.25">
      <c r="F629" t="s">
        <v>480</v>
      </c>
    </row>
    <row r="630" spans="3:6" x14ac:dyDescent="0.25">
      <c r="D630" t="s">
        <v>166</v>
      </c>
      <c r="E630" t="s">
        <v>164</v>
      </c>
    </row>
    <row r="631" spans="3:6" x14ac:dyDescent="0.25">
      <c r="F631" t="s">
        <v>478</v>
      </c>
    </row>
    <row r="632" spans="3:6" x14ac:dyDescent="0.25">
      <c r="F632" t="s">
        <v>479</v>
      </c>
    </row>
    <row r="633" spans="3:6" x14ac:dyDescent="0.25">
      <c r="F633" t="s">
        <v>480</v>
      </c>
    </row>
    <row r="634" spans="3:6" x14ac:dyDescent="0.25">
      <c r="D634" t="s">
        <v>167</v>
      </c>
      <c r="E634" t="s">
        <v>164</v>
      </c>
    </row>
    <row r="635" spans="3:6" x14ac:dyDescent="0.25">
      <c r="F635" t="s">
        <v>479</v>
      </c>
    </row>
    <row r="636" spans="3:6" x14ac:dyDescent="0.25">
      <c r="F636" t="s">
        <v>257</v>
      </c>
    </row>
    <row r="637" spans="3:6" x14ac:dyDescent="0.25">
      <c r="F637" t="s">
        <v>236</v>
      </c>
    </row>
    <row r="638" spans="3:6" x14ac:dyDescent="0.25">
      <c r="C638" t="s">
        <v>168</v>
      </c>
    </row>
    <row r="639" spans="3:6" x14ac:dyDescent="0.25">
      <c r="D639" t="s">
        <v>170</v>
      </c>
      <c r="E639" t="s">
        <v>169</v>
      </c>
    </row>
    <row r="640" spans="3:6" x14ac:dyDescent="0.25">
      <c r="F640" t="s">
        <v>481</v>
      </c>
    </row>
    <row r="641" spans="3:6" x14ac:dyDescent="0.25">
      <c r="D641" t="s">
        <v>171</v>
      </c>
      <c r="E641" t="s">
        <v>169</v>
      </c>
    </row>
    <row r="642" spans="3:6" x14ac:dyDescent="0.25">
      <c r="F642" t="s">
        <v>481</v>
      </c>
    </row>
    <row r="643" spans="3:6" x14ac:dyDescent="0.25">
      <c r="D643" t="s">
        <v>172</v>
      </c>
      <c r="E643" t="s">
        <v>169</v>
      </c>
    </row>
    <row r="644" spans="3:6" x14ac:dyDescent="0.25">
      <c r="F644" t="s">
        <v>481</v>
      </c>
    </row>
    <row r="645" spans="3:6" x14ac:dyDescent="0.25">
      <c r="D645" t="s">
        <v>173</v>
      </c>
      <c r="E645" t="s">
        <v>169</v>
      </c>
    </row>
    <row r="646" spans="3:6" x14ac:dyDescent="0.25">
      <c r="F646" t="s">
        <v>481</v>
      </c>
    </row>
    <row r="647" spans="3:6" x14ac:dyDescent="0.25">
      <c r="D647" t="s">
        <v>174</v>
      </c>
      <c r="E647" t="s">
        <v>169</v>
      </c>
    </row>
    <row r="648" spans="3:6" x14ac:dyDescent="0.25">
      <c r="F648" t="s">
        <v>481</v>
      </c>
    </row>
    <row r="649" spans="3:6" x14ac:dyDescent="0.25">
      <c r="F649" t="s">
        <v>236</v>
      </c>
    </row>
    <row r="650" spans="3:6" x14ac:dyDescent="0.25">
      <c r="C650" t="s">
        <v>175</v>
      </c>
    </row>
    <row r="651" spans="3:6" x14ac:dyDescent="0.25">
      <c r="D651" t="s">
        <v>176</v>
      </c>
      <c r="E651" t="s">
        <v>169</v>
      </c>
    </row>
    <row r="652" spans="3:6" x14ac:dyDescent="0.25">
      <c r="F652" t="s">
        <v>482</v>
      </c>
    </row>
    <row r="653" spans="3:6" x14ac:dyDescent="0.25">
      <c r="F653" t="s">
        <v>478</v>
      </c>
    </row>
    <row r="654" spans="3:6" x14ac:dyDescent="0.25">
      <c r="F654" t="s">
        <v>236</v>
      </c>
    </row>
    <row r="655" spans="3:6" x14ac:dyDescent="0.25">
      <c r="C655" t="s">
        <v>177</v>
      </c>
    </row>
    <row r="656" spans="3:6" x14ac:dyDescent="0.25">
      <c r="D656" t="s">
        <v>178</v>
      </c>
      <c r="E656" t="s">
        <v>14</v>
      </c>
    </row>
    <row r="657" spans="3:6" x14ac:dyDescent="0.25">
      <c r="F657" t="s">
        <v>483</v>
      </c>
    </row>
    <row r="658" spans="3:6" x14ac:dyDescent="0.25">
      <c r="C658" t="s">
        <v>179</v>
      </c>
    </row>
    <row r="659" spans="3:6" x14ac:dyDescent="0.25">
      <c r="D659" t="s">
        <v>180</v>
      </c>
      <c r="E659" t="s">
        <v>10</v>
      </c>
    </row>
    <row r="660" spans="3:6" x14ac:dyDescent="0.25">
      <c r="F660" t="s">
        <v>476</v>
      </c>
    </row>
    <row r="661" spans="3:6" x14ac:dyDescent="0.25">
      <c r="F661" t="s">
        <v>236</v>
      </c>
    </row>
    <row r="662" spans="3:6" x14ac:dyDescent="0.25">
      <c r="D662" t="s">
        <v>181</v>
      </c>
      <c r="E662" t="s">
        <v>10</v>
      </c>
    </row>
    <row r="663" spans="3:6" x14ac:dyDescent="0.25">
      <c r="F663" t="s">
        <v>238</v>
      </c>
    </row>
    <row r="664" spans="3:6" x14ac:dyDescent="0.25">
      <c r="D664" t="s">
        <v>182</v>
      </c>
      <c r="E664" t="s">
        <v>10</v>
      </c>
    </row>
    <row r="665" spans="3:6" x14ac:dyDescent="0.25">
      <c r="F665" t="s">
        <v>244</v>
      </c>
    </row>
    <row r="666" spans="3:6" x14ac:dyDescent="0.25">
      <c r="F666" t="s">
        <v>236</v>
      </c>
    </row>
    <row r="667" spans="3:6" x14ac:dyDescent="0.25">
      <c r="D667" t="s">
        <v>183</v>
      </c>
      <c r="E667" t="s">
        <v>10</v>
      </c>
    </row>
    <row r="668" spans="3:6" x14ac:dyDescent="0.25">
      <c r="F668" t="s">
        <v>244</v>
      </c>
    </row>
    <row r="669" spans="3:6" x14ac:dyDescent="0.25">
      <c r="D669" t="s">
        <v>184</v>
      </c>
      <c r="E669" t="s">
        <v>10</v>
      </c>
    </row>
    <row r="670" spans="3:6" x14ac:dyDescent="0.25">
      <c r="F670" t="s">
        <v>256</v>
      </c>
    </row>
    <row r="671" spans="3:6" x14ac:dyDescent="0.25">
      <c r="F671" t="s">
        <v>236</v>
      </c>
    </row>
    <row r="672" spans="3:6" x14ac:dyDescent="0.25">
      <c r="C672" t="s">
        <v>185</v>
      </c>
    </row>
    <row r="673" spans="3:6" x14ac:dyDescent="0.25">
      <c r="D673" t="s">
        <v>186</v>
      </c>
      <c r="E673" t="s">
        <v>14</v>
      </c>
    </row>
    <row r="674" spans="3:6" x14ac:dyDescent="0.25">
      <c r="F674" t="s">
        <v>484</v>
      </c>
    </row>
    <row r="675" spans="3:6" x14ac:dyDescent="0.25">
      <c r="C675" t="s">
        <v>187</v>
      </c>
    </row>
    <row r="676" spans="3:6" x14ac:dyDescent="0.25">
      <c r="D676" t="s">
        <v>188</v>
      </c>
      <c r="E676" t="s">
        <v>14</v>
      </c>
    </row>
    <row r="677" spans="3:6" x14ac:dyDescent="0.25">
      <c r="F677" t="s">
        <v>252</v>
      </c>
    </row>
    <row r="678" spans="3:6" x14ac:dyDescent="0.25">
      <c r="F678" t="s">
        <v>253</v>
      </c>
    </row>
    <row r="679" spans="3:6" x14ac:dyDescent="0.25">
      <c r="F679" t="s">
        <v>254</v>
      </c>
    </row>
    <row r="680" spans="3:6" x14ac:dyDescent="0.25">
      <c r="F680" t="s">
        <v>256</v>
      </c>
    </row>
    <row r="681" spans="3:6" x14ac:dyDescent="0.25">
      <c r="F681" t="s">
        <v>236</v>
      </c>
    </row>
    <row r="682" spans="3:6" x14ac:dyDescent="0.25">
      <c r="D682" t="s">
        <v>189</v>
      </c>
      <c r="E682" t="s">
        <v>14</v>
      </c>
    </row>
    <row r="683" spans="3:6" x14ac:dyDescent="0.25">
      <c r="F683" t="s">
        <v>252</v>
      </c>
    </row>
    <row r="684" spans="3:6" x14ac:dyDescent="0.25">
      <c r="F684" t="s">
        <v>253</v>
      </c>
    </row>
    <row r="685" spans="3:6" x14ac:dyDescent="0.25">
      <c r="F685" t="s">
        <v>254</v>
      </c>
    </row>
    <row r="686" spans="3:6" x14ac:dyDescent="0.25">
      <c r="F686" t="s">
        <v>256</v>
      </c>
    </row>
    <row r="687" spans="3:6" x14ac:dyDescent="0.25">
      <c r="F687" t="s">
        <v>236</v>
      </c>
    </row>
    <row r="688" spans="3:6" x14ac:dyDescent="0.25">
      <c r="D688" t="s">
        <v>190</v>
      </c>
      <c r="E688" t="s">
        <v>14</v>
      </c>
    </row>
    <row r="689" spans="4:6" x14ac:dyDescent="0.25">
      <c r="F689" t="s">
        <v>252</v>
      </c>
    </row>
    <row r="690" spans="4:6" x14ac:dyDescent="0.25">
      <c r="F690" t="s">
        <v>253</v>
      </c>
    </row>
    <row r="691" spans="4:6" x14ac:dyDescent="0.25">
      <c r="F691" t="s">
        <v>254</v>
      </c>
    </row>
    <row r="692" spans="4:6" x14ac:dyDescent="0.25">
      <c r="F692" t="s">
        <v>256</v>
      </c>
    </row>
    <row r="693" spans="4:6" x14ac:dyDescent="0.25">
      <c r="F693" t="s">
        <v>236</v>
      </c>
    </row>
    <row r="694" spans="4:6" x14ac:dyDescent="0.25">
      <c r="D694" t="s">
        <v>191</v>
      </c>
      <c r="E694" t="s">
        <v>14</v>
      </c>
    </row>
    <row r="695" spans="4:6" x14ac:dyDescent="0.25">
      <c r="F695" t="s">
        <v>252</v>
      </c>
    </row>
    <row r="696" spans="4:6" x14ac:dyDescent="0.25">
      <c r="F696" t="s">
        <v>253</v>
      </c>
    </row>
    <row r="697" spans="4:6" x14ac:dyDescent="0.25">
      <c r="F697" t="s">
        <v>254</v>
      </c>
    </row>
    <row r="698" spans="4:6" x14ac:dyDescent="0.25">
      <c r="F698" t="s">
        <v>256</v>
      </c>
    </row>
    <row r="699" spans="4:6" x14ac:dyDescent="0.25">
      <c r="F699" t="s">
        <v>236</v>
      </c>
    </row>
    <row r="700" spans="4:6" x14ac:dyDescent="0.25">
      <c r="D700" t="s">
        <v>192</v>
      </c>
      <c r="E700" t="s">
        <v>14</v>
      </c>
    </row>
    <row r="701" spans="4:6" x14ac:dyDescent="0.25">
      <c r="F701" t="s">
        <v>252</v>
      </c>
    </row>
    <row r="702" spans="4:6" x14ac:dyDescent="0.25">
      <c r="F702" t="s">
        <v>253</v>
      </c>
    </row>
    <row r="703" spans="4:6" x14ac:dyDescent="0.25">
      <c r="F703" t="s">
        <v>254</v>
      </c>
    </row>
    <row r="704" spans="4:6" x14ac:dyDescent="0.25">
      <c r="F704" t="s">
        <v>256</v>
      </c>
    </row>
    <row r="705" spans="4:6" x14ac:dyDescent="0.25">
      <c r="F705" t="s">
        <v>236</v>
      </c>
    </row>
    <row r="706" spans="4:6" x14ac:dyDescent="0.25">
      <c r="D706" t="s">
        <v>193</v>
      </c>
      <c r="E706" t="s">
        <v>14</v>
      </c>
    </row>
    <row r="707" spans="4:6" x14ac:dyDescent="0.25">
      <c r="F707" t="s">
        <v>256</v>
      </c>
    </row>
    <row r="708" spans="4:6" x14ac:dyDescent="0.25">
      <c r="F708" t="s">
        <v>485</v>
      </c>
    </row>
    <row r="709" spans="4:6" x14ac:dyDescent="0.25">
      <c r="F709" t="s">
        <v>486</v>
      </c>
    </row>
    <row r="710" spans="4:6" x14ac:dyDescent="0.25">
      <c r="D710" t="s">
        <v>194</v>
      </c>
      <c r="E710" t="s">
        <v>14</v>
      </c>
    </row>
    <row r="711" spans="4:6" x14ac:dyDescent="0.25">
      <c r="F711" t="s">
        <v>252</v>
      </c>
    </row>
    <row r="712" spans="4:6" x14ac:dyDescent="0.25">
      <c r="F712" t="s">
        <v>253</v>
      </c>
    </row>
    <row r="713" spans="4:6" x14ac:dyDescent="0.25">
      <c r="F713" t="s">
        <v>254</v>
      </c>
    </row>
    <row r="714" spans="4:6" x14ac:dyDescent="0.25">
      <c r="F714" t="s">
        <v>256</v>
      </c>
    </row>
    <row r="715" spans="4:6" x14ac:dyDescent="0.25">
      <c r="F715" t="s">
        <v>236</v>
      </c>
    </row>
    <row r="716" spans="4:6" x14ac:dyDescent="0.25">
      <c r="D716" t="s">
        <v>195</v>
      </c>
      <c r="E716" t="s">
        <v>14</v>
      </c>
    </row>
    <row r="717" spans="4:6" x14ac:dyDescent="0.25">
      <c r="F717" t="s">
        <v>252</v>
      </c>
    </row>
    <row r="718" spans="4:6" x14ac:dyDescent="0.25">
      <c r="F718" t="s">
        <v>253</v>
      </c>
    </row>
    <row r="719" spans="4:6" x14ac:dyDescent="0.25">
      <c r="F719" t="s">
        <v>254</v>
      </c>
    </row>
    <row r="720" spans="4:6" x14ac:dyDescent="0.25">
      <c r="F720" t="s">
        <v>256</v>
      </c>
    </row>
    <row r="721" spans="3:6" x14ac:dyDescent="0.25">
      <c r="F721" t="s">
        <v>236</v>
      </c>
    </row>
    <row r="722" spans="3:6" x14ac:dyDescent="0.25">
      <c r="D722" t="s">
        <v>196</v>
      </c>
      <c r="E722" t="s">
        <v>14</v>
      </c>
    </row>
    <row r="723" spans="3:6" x14ac:dyDescent="0.25">
      <c r="F723" t="s">
        <v>252</v>
      </c>
    </row>
    <row r="724" spans="3:6" x14ac:dyDescent="0.25">
      <c r="F724" t="s">
        <v>253</v>
      </c>
    </row>
    <row r="725" spans="3:6" x14ac:dyDescent="0.25">
      <c r="F725" t="s">
        <v>254</v>
      </c>
    </row>
    <row r="726" spans="3:6" x14ac:dyDescent="0.25">
      <c r="F726" t="s">
        <v>256</v>
      </c>
    </row>
    <row r="727" spans="3:6" x14ac:dyDescent="0.25">
      <c r="F727" t="s">
        <v>236</v>
      </c>
    </row>
    <row r="728" spans="3:6" x14ac:dyDescent="0.25">
      <c r="D728" t="s">
        <v>197</v>
      </c>
      <c r="E728" t="s">
        <v>14</v>
      </c>
    </row>
    <row r="729" spans="3:6" x14ac:dyDescent="0.25">
      <c r="F729" t="s">
        <v>252</v>
      </c>
    </row>
    <row r="730" spans="3:6" x14ac:dyDescent="0.25">
      <c r="F730" t="s">
        <v>253</v>
      </c>
    </row>
    <row r="731" spans="3:6" x14ac:dyDescent="0.25">
      <c r="F731" t="s">
        <v>254</v>
      </c>
    </row>
    <row r="732" spans="3:6" x14ac:dyDescent="0.25">
      <c r="F732" t="s">
        <v>256</v>
      </c>
    </row>
    <row r="733" spans="3:6" x14ac:dyDescent="0.25">
      <c r="F733" t="s">
        <v>236</v>
      </c>
    </row>
    <row r="734" spans="3:6" x14ac:dyDescent="0.25">
      <c r="C734" t="s">
        <v>198</v>
      </c>
    </row>
    <row r="735" spans="3:6" x14ac:dyDescent="0.25">
      <c r="D735" t="s">
        <v>199</v>
      </c>
      <c r="E735" t="s">
        <v>14</v>
      </c>
    </row>
    <row r="736" spans="3:6" x14ac:dyDescent="0.25">
      <c r="F736" t="s">
        <v>252</v>
      </c>
    </row>
    <row r="737" spans="3:6" x14ac:dyDescent="0.25">
      <c r="F737" t="s">
        <v>253</v>
      </c>
    </row>
    <row r="738" spans="3:6" x14ac:dyDescent="0.25">
      <c r="F738" t="s">
        <v>254</v>
      </c>
    </row>
    <row r="739" spans="3:6" x14ac:dyDescent="0.25">
      <c r="F739" t="s">
        <v>256</v>
      </c>
    </row>
    <row r="740" spans="3:6" x14ac:dyDescent="0.25">
      <c r="F740" t="s">
        <v>236</v>
      </c>
    </row>
    <row r="741" spans="3:6" x14ac:dyDescent="0.25">
      <c r="D741" t="s">
        <v>200</v>
      </c>
      <c r="E741" t="s">
        <v>14</v>
      </c>
    </row>
    <row r="742" spans="3:6" x14ac:dyDescent="0.25">
      <c r="F742" t="s">
        <v>252</v>
      </c>
    </row>
    <row r="743" spans="3:6" x14ac:dyDescent="0.25">
      <c r="F743" t="s">
        <v>253</v>
      </c>
    </row>
    <row r="744" spans="3:6" x14ac:dyDescent="0.25">
      <c r="F744" t="s">
        <v>254</v>
      </c>
    </row>
    <row r="745" spans="3:6" x14ac:dyDescent="0.25">
      <c r="F745" t="s">
        <v>256</v>
      </c>
    </row>
    <row r="746" spans="3:6" x14ac:dyDescent="0.25">
      <c r="F746" t="s">
        <v>236</v>
      </c>
    </row>
    <row r="747" spans="3:6" x14ac:dyDescent="0.25">
      <c r="C747" t="s">
        <v>201</v>
      </c>
    </row>
    <row r="748" spans="3:6" x14ac:dyDescent="0.25">
      <c r="D748" t="s">
        <v>202</v>
      </c>
      <c r="E748" t="s">
        <v>19</v>
      </c>
    </row>
    <row r="749" spans="3:6" x14ac:dyDescent="0.25">
      <c r="F749" t="s">
        <v>252</v>
      </c>
    </row>
    <row r="750" spans="3:6" x14ac:dyDescent="0.25">
      <c r="F750" t="s">
        <v>253</v>
      </c>
    </row>
    <row r="751" spans="3:6" x14ac:dyDescent="0.25">
      <c r="F751" t="s">
        <v>254</v>
      </c>
    </row>
    <row r="752" spans="3:6" x14ac:dyDescent="0.25">
      <c r="F752" t="s">
        <v>256</v>
      </c>
    </row>
    <row r="753" spans="4:6" x14ac:dyDescent="0.25">
      <c r="F753" t="s">
        <v>236</v>
      </c>
    </row>
    <row r="754" spans="4:6" x14ac:dyDescent="0.25">
      <c r="D754" t="s">
        <v>203</v>
      </c>
      <c r="E754" t="s">
        <v>19</v>
      </c>
    </row>
    <row r="755" spans="4:6" x14ac:dyDescent="0.25">
      <c r="F755" t="s">
        <v>252</v>
      </c>
    </row>
    <row r="756" spans="4:6" x14ac:dyDescent="0.25">
      <c r="F756" t="s">
        <v>253</v>
      </c>
    </row>
    <row r="757" spans="4:6" x14ac:dyDescent="0.25">
      <c r="F757" t="s">
        <v>254</v>
      </c>
    </row>
    <row r="758" spans="4:6" x14ac:dyDescent="0.25">
      <c r="F758" t="s">
        <v>256</v>
      </c>
    </row>
    <row r="759" spans="4:6" x14ac:dyDescent="0.25">
      <c r="F759" t="s">
        <v>236</v>
      </c>
    </row>
    <row r="760" spans="4:6" x14ac:dyDescent="0.25">
      <c r="D760" t="s">
        <v>204</v>
      </c>
      <c r="E760" t="s">
        <v>19</v>
      </c>
    </row>
    <row r="761" spans="4:6" x14ac:dyDescent="0.25">
      <c r="F761" t="s">
        <v>252</v>
      </c>
    </row>
    <row r="762" spans="4:6" x14ac:dyDescent="0.25">
      <c r="F762" t="s">
        <v>253</v>
      </c>
    </row>
    <row r="763" spans="4:6" x14ac:dyDescent="0.25">
      <c r="F763" t="s">
        <v>254</v>
      </c>
    </row>
    <row r="764" spans="4:6" x14ac:dyDescent="0.25">
      <c r="F764" t="s">
        <v>256</v>
      </c>
    </row>
    <row r="765" spans="4:6" x14ac:dyDescent="0.25">
      <c r="F765" t="s">
        <v>236</v>
      </c>
    </row>
    <row r="766" spans="4:6" x14ac:dyDescent="0.25">
      <c r="D766" t="s">
        <v>205</v>
      </c>
      <c r="E766" t="s">
        <v>19</v>
      </c>
    </row>
    <row r="767" spans="4:6" x14ac:dyDescent="0.25">
      <c r="F767" t="s">
        <v>252</v>
      </c>
    </row>
    <row r="768" spans="4:6" x14ac:dyDescent="0.25">
      <c r="F768" t="s">
        <v>253</v>
      </c>
    </row>
    <row r="769" spans="3:6" x14ac:dyDescent="0.25">
      <c r="F769" t="s">
        <v>254</v>
      </c>
    </row>
    <row r="770" spans="3:6" x14ac:dyDescent="0.25">
      <c r="F770" t="s">
        <v>256</v>
      </c>
    </row>
    <row r="771" spans="3:6" x14ac:dyDescent="0.25">
      <c r="F771" t="s">
        <v>236</v>
      </c>
    </row>
    <row r="772" spans="3:6" x14ac:dyDescent="0.25">
      <c r="D772" t="s">
        <v>206</v>
      </c>
      <c r="E772" t="s">
        <v>19</v>
      </c>
    </row>
    <row r="773" spans="3:6" x14ac:dyDescent="0.25">
      <c r="F773" t="s">
        <v>252</v>
      </c>
    </row>
    <row r="774" spans="3:6" x14ac:dyDescent="0.25">
      <c r="F774" t="s">
        <v>253</v>
      </c>
    </row>
    <row r="775" spans="3:6" x14ac:dyDescent="0.25">
      <c r="F775" t="s">
        <v>254</v>
      </c>
    </row>
    <row r="776" spans="3:6" x14ac:dyDescent="0.25">
      <c r="F776" t="s">
        <v>256</v>
      </c>
    </row>
    <row r="777" spans="3:6" x14ac:dyDescent="0.25">
      <c r="F777" t="s">
        <v>236</v>
      </c>
    </row>
    <row r="778" spans="3:6" x14ac:dyDescent="0.25">
      <c r="D778" t="s">
        <v>207</v>
      </c>
      <c r="E778" t="s">
        <v>19</v>
      </c>
    </row>
    <row r="779" spans="3:6" x14ac:dyDescent="0.25">
      <c r="F779" t="s">
        <v>240</v>
      </c>
    </row>
    <row r="780" spans="3:6" x14ac:dyDescent="0.25">
      <c r="F780" t="s">
        <v>247</v>
      </c>
    </row>
    <row r="781" spans="3:6" x14ac:dyDescent="0.25">
      <c r="F781" t="s">
        <v>479</v>
      </c>
    </row>
    <row r="782" spans="3:6" x14ac:dyDescent="0.25">
      <c r="C782" t="s">
        <v>208</v>
      </c>
    </row>
    <row r="783" spans="3:6" x14ac:dyDescent="0.25">
      <c r="D783" t="s">
        <v>209</v>
      </c>
      <c r="E783" t="s">
        <v>14</v>
      </c>
    </row>
    <row r="784" spans="3:6" x14ac:dyDescent="0.25">
      <c r="F784" t="s">
        <v>479</v>
      </c>
    </row>
    <row r="785" spans="1:6" x14ac:dyDescent="0.25">
      <c r="F785" t="s">
        <v>487</v>
      </c>
    </row>
    <row r="786" spans="1:6" x14ac:dyDescent="0.25">
      <c r="A786" t="s">
        <v>210</v>
      </c>
    </row>
    <row r="787" spans="1:6" x14ac:dyDescent="0.25">
      <c r="B787" t="s">
        <v>211</v>
      </c>
    </row>
    <row r="788" spans="1:6" x14ac:dyDescent="0.25">
      <c r="C788" t="s">
        <v>212</v>
      </c>
    </row>
    <row r="789" spans="1:6" x14ac:dyDescent="0.25">
      <c r="D789" t="s">
        <v>213</v>
      </c>
      <c r="E789" t="s">
        <v>9</v>
      </c>
    </row>
    <row r="790" spans="1:6" x14ac:dyDescent="0.25">
      <c r="F790" t="s">
        <v>488</v>
      </c>
    </row>
    <row r="791" spans="1:6" x14ac:dyDescent="0.25">
      <c r="D791" t="s">
        <v>214</v>
      </c>
      <c r="E791" t="s">
        <v>9</v>
      </c>
    </row>
    <row r="792" spans="1:6" x14ac:dyDescent="0.25">
      <c r="F792" t="s">
        <v>491</v>
      </c>
    </row>
    <row r="793" spans="1:6" x14ac:dyDescent="0.25">
      <c r="F793" t="s">
        <v>492</v>
      </c>
    </row>
    <row r="794" spans="1:6" x14ac:dyDescent="0.25">
      <c r="D794" t="s">
        <v>215</v>
      </c>
      <c r="E794" t="s">
        <v>9</v>
      </c>
    </row>
    <row r="795" spans="1:6" x14ac:dyDescent="0.25">
      <c r="F795" t="s">
        <v>488</v>
      </c>
    </row>
    <row r="796" spans="1:6" x14ac:dyDescent="0.25">
      <c r="D796" t="s">
        <v>216</v>
      </c>
      <c r="E796" t="s">
        <v>9</v>
      </c>
    </row>
    <row r="797" spans="1:6" x14ac:dyDescent="0.25">
      <c r="F797" t="s">
        <v>488</v>
      </c>
    </row>
    <row r="798" spans="1:6" x14ac:dyDescent="0.25">
      <c r="D798" t="s">
        <v>217</v>
      </c>
      <c r="E798" t="s">
        <v>9</v>
      </c>
    </row>
    <row r="799" spans="1:6" x14ac:dyDescent="0.25">
      <c r="F799" t="s">
        <v>488</v>
      </c>
    </row>
    <row r="800" spans="1:6" x14ac:dyDescent="0.25">
      <c r="D800" t="s">
        <v>218</v>
      </c>
      <c r="E800" t="s">
        <v>9</v>
      </c>
    </row>
    <row r="801" spans="3:6" x14ac:dyDescent="0.25">
      <c r="F801" t="s">
        <v>488</v>
      </c>
    </row>
    <row r="802" spans="3:6" x14ac:dyDescent="0.25">
      <c r="D802" t="s">
        <v>219</v>
      </c>
      <c r="E802" t="s">
        <v>9</v>
      </c>
    </row>
    <row r="803" spans="3:6" x14ac:dyDescent="0.25">
      <c r="F803" t="s">
        <v>488</v>
      </c>
    </row>
    <row r="804" spans="3:6" x14ac:dyDescent="0.25">
      <c r="D804" t="s">
        <v>220</v>
      </c>
      <c r="E804" t="s">
        <v>9</v>
      </c>
    </row>
    <row r="805" spans="3:6" x14ac:dyDescent="0.25">
      <c r="F805" t="s">
        <v>488</v>
      </c>
    </row>
    <row r="806" spans="3:6" x14ac:dyDescent="0.25">
      <c r="D806" t="s">
        <v>221</v>
      </c>
      <c r="E806" t="s">
        <v>9</v>
      </c>
    </row>
    <row r="807" spans="3:6" x14ac:dyDescent="0.25">
      <c r="F807" t="s">
        <v>488</v>
      </c>
    </row>
    <row r="808" spans="3:6" x14ac:dyDescent="0.25">
      <c r="D808" t="s">
        <v>222</v>
      </c>
      <c r="E808" t="s">
        <v>9</v>
      </c>
    </row>
    <row r="809" spans="3:6" x14ac:dyDescent="0.25">
      <c r="F809" t="s">
        <v>488</v>
      </c>
    </row>
    <row r="810" spans="3:6" x14ac:dyDescent="0.25">
      <c r="C810" t="s">
        <v>223</v>
      </c>
    </row>
    <row r="811" spans="3:6" x14ac:dyDescent="0.25">
      <c r="D811" t="s">
        <v>224</v>
      </c>
      <c r="E811" t="s">
        <v>14</v>
      </c>
    </row>
    <row r="812" spans="3:6" x14ac:dyDescent="0.25">
      <c r="F812" t="s">
        <v>490</v>
      </c>
    </row>
    <row r="813" spans="3:6" x14ac:dyDescent="0.25">
      <c r="D813" t="s">
        <v>225</v>
      </c>
      <c r="E813" t="s">
        <v>14</v>
      </c>
    </row>
    <row r="814" spans="3:6" x14ac:dyDescent="0.25">
      <c r="F814" t="s">
        <v>489</v>
      </c>
    </row>
    <row r="815" spans="3:6" x14ac:dyDescent="0.25">
      <c r="C815" t="s">
        <v>226</v>
      </c>
    </row>
    <row r="816" spans="3:6" x14ac:dyDescent="0.25">
      <c r="D816" t="s">
        <v>227</v>
      </c>
      <c r="E816" t="s">
        <v>9</v>
      </c>
    </row>
    <row r="817" spans="3:6" x14ac:dyDescent="0.25">
      <c r="F817" t="s">
        <v>488</v>
      </c>
    </row>
    <row r="818" spans="3:6" x14ac:dyDescent="0.25">
      <c r="C818" t="s">
        <v>228</v>
      </c>
    </row>
    <row r="819" spans="3:6" x14ac:dyDescent="0.25">
      <c r="D819" t="s">
        <v>229</v>
      </c>
      <c r="E819" t="s">
        <v>9</v>
      </c>
    </row>
    <row r="820" spans="3:6" x14ac:dyDescent="0.25">
      <c r="F820" t="s">
        <v>488</v>
      </c>
    </row>
    <row r="821" spans="3:6" x14ac:dyDescent="0.25">
      <c r="D821" t="s">
        <v>230</v>
      </c>
      <c r="E821" t="s">
        <v>9</v>
      </c>
    </row>
    <row r="822" spans="3:6" x14ac:dyDescent="0.25">
      <c r="F822" t="s">
        <v>488</v>
      </c>
    </row>
    <row r="823" spans="3:6" x14ac:dyDescent="0.25">
      <c r="D823" t="s">
        <v>231</v>
      </c>
      <c r="E823" t="s">
        <v>9</v>
      </c>
    </row>
    <row r="824" spans="3:6" x14ac:dyDescent="0.25">
      <c r="F824" t="s">
        <v>488</v>
      </c>
    </row>
    <row r="825" spans="3:6" x14ac:dyDescent="0.25">
      <c r="D825" t="s">
        <v>232</v>
      </c>
      <c r="E825" t="s">
        <v>9</v>
      </c>
    </row>
    <row r="826" spans="3:6" x14ac:dyDescent="0.25">
      <c r="F826" t="s">
        <v>488</v>
      </c>
    </row>
  </sheetData>
  <autoFilter ref="A1:L1" xr:uid="{B947289A-475A-47CD-8231-EB9ACCE280B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0433A-6494-4660-BD06-866A0E35D76F}">
  <dimension ref="A1:D8"/>
  <sheetViews>
    <sheetView workbookViewId="0">
      <selection activeCell="D36" sqref="D36"/>
    </sheetView>
  </sheetViews>
  <sheetFormatPr defaultRowHeight="15" x14ac:dyDescent="0.25"/>
  <sheetData>
    <row r="1" spans="1:4" x14ac:dyDescent="0.25">
      <c r="A1" t="s">
        <v>267</v>
      </c>
    </row>
    <row r="2" spans="1:4" x14ac:dyDescent="0.25">
      <c r="A2" t="s">
        <v>264</v>
      </c>
      <c r="B2" t="s">
        <v>265</v>
      </c>
      <c r="C2" t="s">
        <v>266</v>
      </c>
    </row>
    <row r="3" spans="1:4" x14ac:dyDescent="0.25">
      <c r="A3" t="s">
        <v>268</v>
      </c>
    </row>
    <row r="4" spans="1:4" x14ac:dyDescent="0.25">
      <c r="B4" t="s">
        <v>269</v>
      </c>
    </row>
    <row r="5" spans="1:4" x14ac:dyDescent="0.25">
      <c r="C5" t="s">
        <v>270</v>
      </c>
    </row>
    <row r="6" spans="1:4" x14ac:dyDescent="0.25">
      <c r="C6" t="s">
        <v>271</v>
      </c>
    </row>
    <row r="7" spans="1:4" x14ac:dyDescent="0.25">
      <c r="C7" t="s">
        <v>272</v>
      </c>
    </row>
    <row r="8" spans="1:4" x14ac:dyDescent="0.25">
      <c r="C8" t="s">
        <v>273</v>
      </c>
      <c r="D8" t="s">
        <v>274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02217-45B2-49CF-AE06-8B21B5A3ADD7}">
  <dimension ref="A1:C219"/>
  <sheetViews>
    <sheetView workbookViewId="0">
      <selection activeCell="R12" sqref="R12"/>
    </sheetView>
  </sheetViews>
  <sheetFormatPr defaultRowHeight="15" x14ac:dyDescent="0.25"/>
  <cols>
    <col min="1" max="1" width="8.5703125" bestFit="1" customWidth="1"/>
  </cols>
  <sheetData>
    <row r="1" spans="1:3" x14ac:dyDescent="0.25">
      <c r="A1" t="s">
        <v>0</v>
      </c>
      <c r="B1" t="s">
        <v>275</v>
      </c>
      <c r="C1" t="s">
        <v>276</v>
      </c>
    </row>
    <row r="2" spans="1:3" x14ac:dyDescent="0.25">
      <c r="A2" t="s">
        <v>277</v>
      </c>
    </row>
    <row r="3" spans="1:3" x14ac:dyDescent="0.25">
      <c r="B3" t="s">
        <v>278</v>
      </c>
    </row>
    <row r="4" spans="1:3" x14ac:dyDescent="0.25">
      <c r="C4" t="s">
        <v>279</v>
      </c>
    </row>
    <row r="5" spans="1:3" x14ac:dyDescent="0.25">
      <c r="C5" t="s">
        <v>280</v>
      </c>
    </row>
    <row r="6" spans="1:3" x14ac:dyDescent="0.25">
      <c r="C6" t="s">
        <v>281</v>
      </c>
    </row>
    <row r="7" spans="1:3" x14ac:dyDescent="0.25">
      <c r="C7" t="s">
        <v>282</v>
      </c>
    </row>
    <row r="8" spans="1:3" x14ac:dyDescent="0.25">
      <c r="C8" t="s">
        <v>283</v>
      </c>
    </row>
    <row r="9" spans="1:3" x14ac:dyDescent="0.25">
      <c r="C9" t="s">
        <v>284</v>
      </c>
    </row>
    <row r="10" spans="1:3" x14ac:dyDescent="0.25">
      <c r="C10" t="s">
        <v>285</v>
      </c>
    </row>
    <row r="11" spans="1:3" x14ac:dyDescent="0.25">
      <c r="C11" t="s">
        <v>286</v>
      </c>
    </row>
    <row r="12" spans="1:3" x14ac:dyDescent="0.25">
      <c r="C12" t="s">
        <v>287</v>
      </c>
    </row>
    <row r="13" spans="1:3" x14ac:dyDescent="0.25">
      <c r="B13" t="s">
        <v>288</v>
      </c>
    </row>
    <row r="14" spans="1:3" x14ac:dyDescent="0.25">
      <c r="C14" t="s">
        <v>289</v>
      </c>
    </row>
    <row r="15" spans="1:3" x14ac:dyDescent="0.25">
      <c r="C15" t="s">
        <v>290</v>
      </c>
    </row>
    <row r="16" spans="1:3" x14ac:dyDescent="0.25">
      <c r="C16" t="s">
        <v>291</v>
      </c>
    </row>
    <row r="17" spans="1:3" x14ac:dyDescent="0.25">
      <c r="C17" t="s">
        <v>292</v>
      </c>
    </row>
    <row r="18" spans="1:3" x14ac:dyDescent="0.25">
      <c r="C18" t="s">
        <v>293</v>
      </c>
    </row>
    <row r="19" spans="1:3" x14ac:dyDescent="0.25">
      <c r="C19" t="s">
        <v>294</v>
      </c>
    </row>
    <row r="20" spans="1:3" x14ac:dyDescent="0.25">
      <c r="C20" t="s">
        <v>295</v>
      </c>
    </row>
    <row r="21" spans="1:3" x14ac:dyDescent="0.25">
      <c r="C21" t="s">
        <v>296</v>
      </c>
    </row>
    <row r="22" spans="1:3" x14ac:dyDescent="0.25">
      <c r="A22" t="s">
        <v>466</v>
      </c>
    </row>
    <row r="23" spans="1:3" x14ac:dyDescent="0.25">
      <c r="B23" t="s">
        <v>467</v>
      </c>
    </row>
    <row r="24" spans="1:3" x14ac:dyDescent="0.25">
      <c r="C24" t="s">
        <v>468</v>
      </c>
    </row>
    <row r="26" spans="1:3" x14ac:dyDescent="0.25">
      <c r="A26" t="s">
        <v>1</v>
      </c>
      <c r="B26" t="s">
        <v>297</v>
      </c>
      <c r="C26" t="s">
        <v>298</v>
      </c>
    </row>
    <row r="27" spans="1:3" x14ac:dyDescent="0.25">
      <c r="A27" t="s">
        <v>299</v>
      </c>
    </row>
    <row r="28" spans="1:3" x14ac:dyDescent="0.25">
      <c r="B28" t="s">
        <v>300</v>
      </c>
    </row>
    <row r="29" spans="1:3" x14ac:dyDescent="0.25">
      <c r="C29" t="s">
        <v>301</v>
      </c>
    </row>
    <row r="30" spans="1:3" x14ac:dyDescent="0.25">
      <c r="C30" t="s">
        <v>302</v>
      </c>
    </row>
    <row r="31" spans="1:3" x14ac:dyDescent="0.25">
      <c r="C31" t="s">
        <v>303</v>
      </c>
    </row>
    <row r="32" spans="1:3" x14ac:dyDescent="0.25">
      <c r="C32" t="s">
        <v>304</v>
      </c>
    </row>
    <row r="33" spans="1:3" x14ac:dyDescent="0.25">
      <c r="C33" t="s">
        <v>305</v>
      </c>
    </row>
    <row r="34" spans="1:3" x14ac:dyDescent="0.25">
      <c r="C34" t="s">
        <v>306</v>
      </c>
    </row>
    <row r="35" spans="1:3" x14ac:dyDescent="0.25">
      <c r="B35" t="s">
        <v>307</v>
      </c>
    </row>
    <row r="36" spans="1:3" x14ac:dyDescent="0.25">
      <c r="C36" t="s">
        <v>308</v>
      </c>
    </row>
    <row r="37" spans="1:3" x14ac:dyDescent="0.25">
      <c r="B37" t="s">
        <v>309</v>
      </c>
    </row>
    <row r="38" spans="1:3" x14ac:dyDescent="0.25">
      <c r="C38" t="s">
        <v>310</v>
      </c>
    </row>
    <row r="39" spans="1:3" x14ac:dyDescent="0.25">
      <c r="C39" t="s">
        <v>311</v>
      </c>
    </row>
    <row r="40" spans="1:3" x14ac:dyDescent="0.25">
      <c r="C40" t="s">
        <v>312</v>
      </c>
    </row>
    <row r="41" spans="1:3" x14ac:dyDescent="0.25">
      <c r="C41" t="s">
        <v>313</v>
      </c>
    </row>
    <row r="42" spans="1:3" x14ac:dyDescent="0.25">
      <c r="A42" t="s">
        <v>314</v>
      </c>
    </row>
    <row r="43" spans="1:3" x14ac:dyDescent="0.25">
      <c r="B43" t="s">
        <v>315</v>
      </c>
    </row>
    <row r="44" spans="1:3" x14ac:dyDescent="0.25">
      <c r="C44" t="s">
        <v>316</v>
      </c>
    </row>
    <row r="45" spans="1:3" x14ac:dyDescent="0.25">
      <c r="B45" t="s">
        <v>317</v>
      </c>
    </row>
    <row r="46" spans="1:3" x14ac:dyDescent="0.25">
      <c r="C46" t="s">
        <v>310</v>
      </c>
    </row>
    <row r="47" spans="1:3" x14ac:dyDescent="0.25">
      <c r="C47" t="s">
        <v>318</v>
      </c>
    </row>
    <row r="48" spans="1:3" x14ac:dyDescent="0.25">
      <c r="C48" t="s">
        <v>312</v>
      </c>
    </row>
    <row r="49" spans="1:3" x14ac:dyDescent="0.25">
      <c r="C49" t="s">
        <v>313</v>
      </c>
    </row>
    <row r="50" spans="1:3" x14ac:dyDescent="0.25">
      <c r="A50" t="s">
        <v>319</v>
      </c>
    </row>
    <row r="51" spans="1:3" x14ac:dyDescent="0.25">
      <c r="B51" t="s">
        <v>320</v>
      </c>
    </row>
    <row r="52" spans="1:3" x14ac:dyDescent="0.25">
      <c r="C52" t="s">
        <v>321</v>
      </c>
    </row>
    <row r="53" spans="1:3" x14ac:dyDescent="0.25">
      <c r="C53" t="s">
        <v>322</v>
      </c>
    </row>
    <row r="54" spans="1:3" x14ac:dyDescent="0.25">
      <c r="C54" t="s">
        <v>323</v>
      </c>
    </row>
    <row r="55" spans="1:3" x14ac:dyDescent="0.25">
      <c r="C55" t="s">
        <v>324</v>
      </c>
    </row>
    <row r="56" spans="1:3" x14ac:dyDescent="0.25">
      <c r="C56" t="s">
        <v>325</v>
      </c>
    </row>
    <row r="57" spans="1:3" x14ac:dyDescent="0.25">
      <c r="C57" t="s">
        <v>326</v>
      </c>
    </row>
    <row r="58" spans="1:3" x14ac:dyDescent="0.25">
      <c r="C58" t="s">
        <v>318</v>
      </c>
    </row>
    <row r="59" spans="1:3" x14ac:dyDescent="0.25">
      <c r="C59" t="s">
        <v>327</v>
      </c>
    </row>
    <row r="60" spans="1:3" x14ac:dyDescent="0.25">
      <c r="C60" t="s">
        <v>328</v>
      </c>
    </row>
    <row r="61" spans="1:3" x14ac:dyDescent="0.25">
      <c r="C61" t="s">
        <v>329</v>
      </c>
    </row>
    <row r="62" spans="1:3" x14ac:dyDescent="0.25">
      <c r="C62" t="s">
        <v>330</v>
      </c>
    </row>
    <row r="63" spans="1:3" x14ac:dyDescent="0.25">
      <c r="C63" t="s">
        <v>312</v>
      </c>
    </row>
    <row r="64" spans="1:3" x14ac:dyDescent="0.25">
      <c r="C64" t="s">
        <v>310</v>
      </c>
    </row>
    <row r="65" spans="1:3" x14ac:dyDescent="0.25">
      <c r="C65" t="s">
        <v>313</v>
      </c>
    </row>
    <row r="66" spans="1:3" x14ac:dyDescent="0.25">
      <c r="B66" t="s">
        <v>331</v>
      </c>
    </row>
    <row r="67" spans="1:3" x14ac:dyDescent="0.25">
      <c r="C67" t="s">
        <v>332</v>
      </c>
    </row>
    <row r="68" spans="1:3" x14ac:dyDescent="0.25">
      <c r="C68" t="s">
        <v>333</v>
      </c>
    </row>
    <row r="69" spans="1:3" x14ac:dyDescent="0.25">
      <c r="A69" t="s">
        <v>334</v>
      </c>
    </row>
    <row r="70" spans="1:3" x14ac:dyDescent="0.25">
      <c r="B70" t="s">
        <v>335</v>
      </c>
    </row>
    <row r="71" spans="1:3" x14ac:dyDescent="0.25">
      <c r="C71" t="s">
        <v>336</v>
      </c>
    </row>
    <row r="72" spans="1:3" x14ac:dyDescent="0.25">
      <c r="C72" t="s">
        <v>337</v>
      </c>
    </row>
    <row r="73" spans="1:3" x14ac:dyDescent="0.25">
      <c r="C73" t="s">
        <v>338</v>
      </c>
    </row>
    <row r="74" spans="1:3" x14ac:dyDescent="0.25">
      <c r="C74" t="s">
        <v>339</v>
      </c>
    </row>
    <row r="75" spans="1:3" x14ac:dyDescent="0.25">
      <c r="C75" t="s">
        <v>340</v>
      </c>
    </row>
    <row r="76" spans="1:3" x14ac:dyDescent="0.25">
      <c r="C76" t="s">
        <v>310</v>
      </c>
    </row>
    <row r="77" spans="1:3" x14ac:dyDescent="0.25">
      <c r="C77" t="s">
        <v>341</v>
      </c>
    </row>
    <row r="78" spans="1:3" x14ac:dyDescent="0.25">
      <c r="C78" t="s">
        <v>342</v>
      </c>
    </row>
    <row r="79" spans="1:3" x14ac:dyDescent="0.25">
      <c r="C79" t="s">
        <v>343</v>
      </c>
    </row>
    <row r="80" spans="1:3" x14ac:dyDescent="0.25">
      <c r="A80" t="s">
        <v>344</v>
      </c>
    </row>
    <row r="81" spans="2:3" x14ac:dyDescent="0.25">
      <c r="B81" t="s">
        <v>345</v>
      </c>
    </row>
    <row r="82" spans="2:3" x14ac:dyDescent="0.25">
      <c r="C82" t="s">
        <v>346</v>
      </c>
    </row>
    <row r="83" spans="2:3" x14ac:dyDescent="0.25">
      <c r="C83" t="s">
        <v>347</v>
      </c>
    </row>
    <row r="84" spans="2:3" x14ac:dyDescent="0.25">
      <c r="C84" t="s">
        <v>348</v>
      </c>
    </row>
    <row r="85" spans="2:3" x14ac:dyDescent="0.25">
      <c r="C85" t="s">
        <v>349</v>
      </c>
    </row>
    <row r="86" spans="2:3" x14ac:dyDescent="0.25">
      <c r="C86" t="s">
        <v>350</v>
      </c>
    </row>
    <row r="87" spans="2:3" x14ac:dyDescent="0.25">
      <c r="B87" t="s">
        <v>351</v>
      </c>
    </row>
    <row r="88" spans="2:3" x14ac:dyDescent="0.25">
      <c r="C88" t="s">
        <v>352</v>
      </c>
    </row>
    <row r="89" spans="2:3" x14ac:dyDescent="0.25">
      <c r="C89" t="s">
        <v>353</v>
      </c>
    </row>
    <row r="90" spans="2:3" x14ac:dyDescent="0.25">
      <c r="C90" t="s">
        <v>354</v>
      </c>
    </row>
    <row r="91" spans="2:3" x14ac:dyDescent="0.25">
      <c r="C91" t="s">
        <v>355</v>
      </c>
    </row>
    <row r="92" spans="2:3" x14ac:dyDescent="0.25">
      <c r="C92" t="s">
        <v>356</v>
      </c>
    </row>
    <row r="93" spans="2:3" x14ac:dyDescent="0.25">
      <c r="C93" t="s">
        <v>357</v>
      </c>
    </row>
    <row r="94" spans="2:3" x14ac:dyDescent="0.25">
      <c r="C94" t="s">
        <v>358</v>
      </c>
    </row>
    <row r="95" spans="2:3" x14ac:dyDescent="0.25">
      <c r="B95" t="s">
        <v>359</v>
      </c>
    </row>
    <row r="96" spans="2:3" x14ac:dyDescent="0.25">
      <c r="C96" t="s">
        <v>360</v>
      </c>
    </row>
    <row r="97" spans="1:3" x14ac:dyDescent="0.25">
      <c r="C97" t="s">
        <v>361</v>
      </c>
    </row>
    <row r="98" spans="1:3" x14ac:dyDescent="0.25">
      <c r="C98" t="s">
        <v>362</v>
      </c>
    </row>
    <row r="99" spans="1:3" x14ac:dyDescent="0.25">
      <c r="C99" t="s">
        <v>363</v>
      </c>
    </row>
    <row r="100" spans="1:3" x14ac:dyDescent="0.25">
      <c r="C100" t="s">
        <v>364</v>
      </c>
    </row>
    <row r="101" spans="1:3" x14ac:dyDescent="0.25">
      <c r="B101" t="s">
        <v>365</v>
      </c>
    </row>
    <row r="102" spans="1:3" x14ac:dyDescent="0.25">
      <c r="C102" t="s">
        <v>310</v>
      </c>
    </row>
    <row r="103" spans="1:3" x14ac:dyDescent="0.25">
      <c r="C103" t="s">
        <v>318</v>
      </c>
    </row>
    <row r="104" spans="1:3" x14ac:dyDescent="0.25">
      <c r="C104" t="s">
        <v>312</v>
      </c>
    </row>
    <row r="105" spans="1:3" x14ac:dyDescent="0.25">
      <c r="C105" t="s">
        <v>313</v>
      </c>
    </row>
    <row r="106" spans="1:3" x14ac:dyDescent="0.25">
      <c r="C106" t="s">
        <v>366</v>
      </c>
    </row>
    <row r="107" spans="1:3" x14ac:dyDescent="0.25">
      <c r="C107" t="s">
        <v>367</v>
      </c>
    </row>
    <row r="108" spans="1:3" x14ac:dyDescent="0.25">
      <c r="C108" t="s">
        <v>368</v>
      </c>
    </row>
    <row r="109" spans="1:3" x14ac:dyDescent="0.25">
      <c r="A109" t="s">
        <v>369</v>
      </c>
    </row>
    <row r="110" spans="1:3" x14ac:dyDescent="0.25">
      <c r="B110" t="s">
        <v>370</v>
      </c>
    </row>
    <row r="111" spans="1:3" x14ac:dyDescent="0.25">
      <c r="C111" t="s">
        <v>371</v>
      </c>
    </row>
    <row r="112" spans="1:3" x14ac:dyDescent="0.25">
      <c r="C112" t="s">
        <v>372</v>
      </c>
    </row>
    <row r="113" spans="1:3" x14ac:dyDescent="0.25">
      <c r="C113" t="s">
        <v>373</v>
      </c>
    </row>
    <row r="114" spans="1:3" x14ac:dyDescent="0.25">
      <c r="C114" t="s">
        <v>374</v>
      </c>
    </row>
    <row r="115" spans="1:3" x14ac:dyDescent="0.25">
      <c r="B115" t="s">
        <v>375</v>
      </c>
    </row>
    <row r="116" spans="1:3" x14ac:dyDescent="0.25">
      <c r="C116" t="s">
        <v>376</v>
      </c>
    </row>
    <row r="117" spans="1:3" x14ac:dyDescent="0.25">
      <c r="B117" t="s">
        <v>377</v>
      </c>
    </row>
    <row r="118" spans="1:3" x14ac:dyDescent="0.25">
      <c r="C118" t="s">
        <v>310</v>
      </c>
    </row>
    <row r="119" spans="1:3" x14ac:dyDescent="0.25">
      <c r="C119" t="s">
        <v>318</v>
      </c>
    </row>
    <row r="120" spans="1:3" x14ac:dyDescent="0.25">
      <c r="C120" t="s">
        <v>312</v>
      </c>
    </row>
    <row r="121" spans="1:3" x14ac:dyDescent="0.25">
      <c r="C121" t="s">
        <v>313</v>
      </c>
    </row>
    <row r="122" spans="1:3" x14ac:dyDescent="0.25">
      <c r="A122" t="s">
        <v>378</v>
      </c>
    </row>
    <row r="123" spans="1:3" x14ac:dyDescent="0.25">
      <c r="B123" t="s">
        <v>379</v>
      </c>
    </row>
    <row r="124" spans="1:3" x14ac:dyDescent="0.25">
      <c r="C124" t="s">
        <v>380</v>
      </c>
    </row>
    <row r="125" spans="1:3" x14ac:dyDescent="0.25">
      <c r="C125" t="s">
        <v>381</v>
      </c>
    </row>
    <row r="126" spans="1:3" x14ac:dyDescent="0.25">
      <c r="C126" t="s">
        <v>382</v>
      </c>
    </row>
    <row r="127" spans="1:3" x14ac:dyDescent="0.25">
      <c r="C127" t="s">
        <v>383</v>
      </c>
    </row>
    <row r="128" spans="1:3" x14ac:dyDescent="0.25">
      <c r="B128" t="s">
        <v>384</v>
      </c>
    </row>
    <row r="129" spans="1:3" x14ac:dyDescent="0.25">
      <c r="C129" t="s">
        <v>385</v>
      </c>
    </row>
    <row r="130" spans="1:3" x14ac:dyDescent="0.25">
      <c r="C130" t="s">
        <v>386</v>
      </c>
    </row>
    <row r="131" spans="1:3" x14ac:dyDescent="0.25">
      <c r="B131" t="s">
        <v>387</v>
      </c>
    </row>
    <row r="132" spans="1:3" x14ac:dyDescent="0.25">
      <c r="C132" t="s">
        <v>388</v>
      </c>
    </row>
    <row r="133" spans="1:3" x14ac:dyDescent="0.25">
      <c r="B133" t="s">
        <v>389</v>
      </c>
    </row>
    <row r="134" spans="1:3" x14ac:dyDescent="0.25">
      <c r="C134" t="s">
        <v>310</v>
      </c>
    </row>
    <row r="135" spans="1:3" x14ac:dyDescent="0.25">
      <c r="C135" t="s">
        <v>318</v>
      </c>
    </row>
    <row r="136" spans="1:3" x14ac:dyDescent="0.25">
      <c r="C136" t="s">
        <v>312</v>
      </c>
    </row>
    <row r="137" spans="1:3" x14ac:dyDescent="0.25">
      <c r="C137" t="s">
        <v>313</v>
      </c>
    </row>
    <row r="138" spans="1:3" x14ac:dyDescent="0.25">
      <c r="A138" t="s">
        <v>399</v>
      </c>
    </row>
    <row r="139" spans="1:3" x14ac:dyDescent="0.25">
      <c r="B139" t="s">
        <v>400</v>
      </c>
    </row>
    <row r="140" spans="1:3" x14ac:dyDescent="0.25">
      <c r="C140" t="s">
        <v>401</v>
      </c>
    </row>
    <row r="141" spans="1:3" x14ac:dyDescent="0.25">
      <c r="C141" t="s">
        <v>402</v>
      </c>
    </row>
    <row r="142" spans="1:3" x14ac:dyDescent="0.25">
      <c r="C142" t="s">
        <v>403</v>
      </c>
    </row>
    <row r="143" spans="1:3" x14ac:dyDescent="0.25">
      <c r="C143" t="s">
        <v>404</v>
      </c>
    </row>
    <row r="144" spans="1:3" x14ac:dyDescent="0.25">
      <c r="C144" t="s">
        <v>405</v>
      </c>
    </row>
    <row r="145" spans="1:3" x14ac:dyDescent="0.25">
      <c r="B145" t="s">
        <v>406</v>
      </c>
    </row>
    <row r="146" spans="1:3" x14ac:dyDescent="0.25">
      <c r="C146" t="s">
        <v>407</v>
      </c>
    </row>
    <row r="147" spans="1:3" x14ac:dyDescent="0.25">
      <c r="B147" t="s">
        <v>408</v>
      </c>
    </row>
    <row r="148" spans="1:3" x14ac:dyDescent="0.25">
      <c r="C148" t="s">
        <v>409</v>
      </c>
    </row>
    <row r="149" spans="1:3" x14ac:dyDescent="0.25">
      <c r="C149" t="s">
        <v>410</v>
      </c>
    </row>
    <row r="150" spans="1:3" x14ac:dyDescent="0.25">
      <c r="B150" t="s">
        <v>411</v>
      </c>
    </row>
    <row r="151" spans="1:3" x14ac:dyDescent="0.25">
      <c r="C151" t="s">
        <v>310</v>
      </c>
    </row>
    <row r="152" spans="1:3" x14ac:dyDescent="0.25">
      <c r="C152" t="s">
        <v>318</v>
      </c>
    </row>
    <row r="153" spans="1:3" x14ac:dyDescent="0.25">
      <c r="C153" t="s">
        <v>312</v>
      </c>
    </row>
    <row r="154" spans="1:3" x14ac:dyDescent="0.25">
      <c r="C154" t="s">
        <v>313</v>
      </c>
    </row>
    <row r="155" spans="1:3" x14ac:dyDescent="0.25">
      <c r="C155" t="s">
        <v>366</v>
      </c>
    </row>
    <row r="156" spans="1:3" x14ac:dyDescent="0.25">
      <c r="C156" t="s">
        <v>367</v>
      </c>
    </row>
    <row r="157" spans="1:3" x14ac:dyDescent="0.25">
      <c r="C157" t="s">
        <v>368</v>
      </c>
    </row>
    <row r="158" spans="1:3" x14ac:dyDescent="0.25">
      <c r="A158" t="s">
        <v>412</v>
      </c>
    </row>
    <row r="159" spans="1:3" x14ac:dyDescent="0.25">
      <c r="B159" t="s">
        <v>413</v>
      </c>
    </row>
    <row r="160" spans="1:3" x14ac:dyDescent="0.25">
      <c r="C160" t="s">
        <v>414</v>
      </c>
    </row>
    <row r="161" spans="2:3" x14ac:dyDescent="0.25">
      <c r="C161" t="s">
        <v>415</v>
      </c>
    </row>
    <row r="162" spans="2:3" x14ac:dyDescent="0.25">
      <c r="C162" t="s">
        <v>416</v>
      </c>
    </row>
    <row r="163" spans="2:3" x14ac:dyDescent="0.25">
      <c r="C163" t="s">
        <v>417</v>
      </c>
    </row>
    <row r="164" spans="2:3" x14ac:dyDescent="0.25">
      <c r="C164" t="s">
        <v>418</v>
      </c>
    </row>
    <row r="165" spans="2:3" x14ac:dyDescent="0.25">
      <c r="C165" t="s">
        <v>419</v>
      </c>
    </row>
    <row r="166" spans="2:3" x14ac:dyDescent="0.25">
      <c r="C166" t="s">
        <v>420</v>
      </c>
    </row>
    <row r="167" spans="2:3" x14ac:dyDescent="0.25">
      <c r="C167" t="s">
        <v>421</v>
      </c>
    </row>
    <row r="168" spans="2:3" x14ac:dyDescent="0.25">
      <c r="B168" t="s">
        <v>422</v>
      </c>
    </row>
    <row r="169" spans="2:3" x14ac:dyDescent="0.25">
      <c r="C169" t="s">
        <v>423</v>
      </c>
    </row>
    <row r="170" spans="2:3" x14ac:dyDescent="0.25">
      <c r="B170" t="s">
        <v>424</v>
      </c>
    </row>
    <row r="171" spans="2:3" x14ac:dyDescent="0.25">
      <c r="C171" t="s">
        <v>425</v>
      </c>
    </row>
    <row r="172" spans="2:3" x14ac:dyDescent="0.25">
      <c r="B172" t="s">
        <v>426</v>
      </c>
    </row>
    <row r="173" spans="2:3" x14ac:dyDescent="0.25">
      <c r="C173" t="s">
        <v>310</v>
      </c>
    </row>
    <row r="174" spans="2:3" x14ac:dyDescent="0.25">
      <c r="C174" t="s">
        <v>318</v>
      </c>
    </row>
    <row r="175" spans="2:3" x14ac:dyDescent="0.25">
      <c r="C175" t="s">
        <v>312</v>
      </c>
    </row>
    <row r="176" spans="2:3" x14ac:dyDescent="0.25">
      <c r="C176" t="s">
        <v>313</v>
      </c>
    </row>
    <row r="177" spans="1:3" x14ac:dyDescent="0.25">
      <c r="A177" t="s">
        <v>427</v>
      </c>
    </row>
    <row r="178" spans="1:3" x14ac:dyDescent="0.25">
      <c r="B178" t="s">
        <v>428</v>
      </c>
    </row>
    <row r="179" spans="1:3" x14ac:dyDescent="0.25">
      <c r="C179" t="s">
        <v>429</v>
      </c>
    </row>
    <row r="180" spans="1:3" x14ac:dyDescent="0.25">
      <c r="C180" t="s">
        <v>430</v>
      </c>
    </row>
    <row r="181" spans="1:3" x14ac:dyDescent="0.25">
      <c r="C181" t="s">
        <v>431</v>
      </c>
    </row>
    <row r="182" spans="1:3" x14ac:dyDescent="0.25">
      <c r="C182" t="s">
        <v>432</v>
      </c>
    </row>
    <row r="183" spans="1:3" x14ac:dyDescent="0.25">
      <c r="C183" t="s">
        <v>433</v>
      </c>
    </row>
    <row r="184" spans="1:3" x14ac:dyDescent="0.25">
      <c r="C184" t="s">
        <v>434</v>
      </c>
    </row>
    <row r="185" spans="1:3" x14ac:dyDescent="0.25">
      <c r="C185" t="s">
        <v>435</v>
      </c>
    </row>
    <row r="186" spans="1:3" x14ac:dyDescent="0.25">
      <c r="C186" t="s">
        <v>436</v>
      </c>
    </row>
    <row r="187" spans="1:3" x14ac:dyDescent="0.25">
      <c r="C187" t="s">
        <v>437</v>
      </c>
    </row>
    <row r="188" spans="1:3" x14ac:dyDescent="0.25">
      <c r="C188" t="s">
        <v>438</v>
      </c>
    </row>
    <row r="189" spans="1:3" x14ac:dyDescent="0.25">
      <c r="C189" t="s">
        <v>439</v>
      </c>
    </row>
    <row r="190" spans="1:3" x14ac:dyDescent="0.25">
      <c r="B190" t="s">
        <v>440</v>
      </c>
    </row>
    <row r="191" spans="1:3" x14ac:dyDescent="0.25">
      <c r="C191" t="s">
        <v>441</v>
      </c>
    </row>
    <row r="192" spans="1:3" x14ac:dyDescent="0.25">
      <c r="C192" t="s">
        <v>442</v>
      </c>
    </row>
    <row r="193" spans="1:3" x14ac:dyDescent="0.25">
      <c r="C193" t="s">
        <v>443</v>
      </c>
    </row>
    <row r="194" spans="1:3" x14ac:dyDescent="0.25">
      <c r="C194" t="s">
        <v>444</v>
      </c>
    </row>
    <row r="195" spans="1:3" x14ac:dyDescent="0.25">
      <c r="B195" t="s">
        <v>445</v>
      </c>
    </row>
    <row r="196" spans="1:3" x14ac:dyDescent="0.25">
      <c r="C196" t="s">
        <v>446</v>
      </c>
    </row>
    <row r="197" spans="1:3" x14ac:dyDescent="0.25">
      <c r="C197" t="s">
        <v>447</v>
      </c>
    </row>
    <row r="198" spans="1:3" x14ac:dyDescent="0.25">
      <c r="C198" t="s">
        <v>448</v>
      </c>
    </row>
    <row r="199" spans="1:3" x14ac:dyDescent="0.25">
      <c r="C199" t="s">
        <v>449</v>
      </c>
    </row>
    <row r="200" spans="1:3" x14ac:dyDescent="0.25">
      <c r="C200" t="s">
        <v>450</v>
      </c>
    </row>
    <row r="201" spans="1:3" x14ac:dyDescent="0.25">
      <c r="B201" t="s">
        <v>451</v>
      </c>
    </row>
    <row r="202" spans="1:3" x14ac:dyDescent="0.25">
      <c r="C202" t="s">
        <v>310</v>
      </c>
    </row>
    <row r="203" spans="1:3" x14ac:dyDescent="0.25">
      <c r="C203" t="s">
        <v>318</v>
      </c>
    </row>
    <row r="204" spans="1:3" x14ac:dyDescent="0.25">
      <c r="C204" t="s">
        <v>312</v>
      </c>
    </row>
    <row r="205" spans="1:3" x14ac:dyDescent="0.25">
      <c r="C205" t="s">
        <v>313</v>
      </c>
    </row>
    <row r="206" spans="1:3" x14ac:dyDescent="0.25">
      <c r="A206" t="s">
        <v>452</v>
      </c>
    </row>
    <row r="207" spans="1:3" x14ac:dyDescent="0.25">
      <c r="B207" t="s">
        <v>453</v>
      </c>
    </row>
    <row r="208" spans="1:3" x14ac:dyDescent="0.25">
      <c r="C208" t="s">
        <v>454</v>
      </c>
    </row>
    <row r="209" spans="3:3" x14ac:dyDescent="0.25">
      <c r="C209" t="s">
        <v>455</v>
      </c>
    </row>
    <row r="210" spans="3:3" x14ac:dyDescent="0.25">
      <c r="C210" t="s">
        <v>456</v>
      </c>
    </row>
    <row r="211" spans="3:3" x14ac:dyDescent="0.25">
      <c r="C211" t="s">
        <v>457</v>
      </c>
    </row>
    <row r="212" spans="3:3" x14ac:dyDescent="0.25">
      <c r="C212" t="s">
        <v>458</v>
      </c>
    </row>
    <row r="213" spans="3:3" x14ac:dyDescent="0.25">
      <c r="C213" t="s">
        <v>459</v>
      </c>
    </row>
    <row r="214" spans="3:3" x14ac:dyDescent="0.25">
      <c r="C214" t="s">
        <v>460</v>
      </c>
    </row>
    <row r="215" spans="3:3" x14ac:dyDescent="0.25">
      <c r="C215" t="s">
        <v>461</v>
      </c>
    </row>
    <row r="216" spans="3:3" x14ac:dyDescent="0.25">
      <c r="C216" t="s">
        <v>462</v>
      </c>
    </row>
    <row r="217" spans="3:3" x14ac:dyDescent="0.25">
      <c r="C217" t="s">
        <v>463</v>
      </c>
    </row>
    <row r="218" spans="3:3" x14ac:dyDescent="0.25">
      <c r="C218" t="s">
        <v>464</v>
      </c>
    </row>
    <row r="219" spans="3:3" x14ac:dyDescent="0.25">
      <c r="C219" t="s">
        <v>465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874B82-6752-4BE0-8FF1-4DBB1DC419A3}">
  <dimension ref="A1:B5"/>
  <sheetViews>
    <sheetView workbookViewId="0">
      <selection activeCell="E10" sqref="E10"/>
    </sheetView>
  </sheetViews>
  <sheetFormatPr defaultRowHeight="15" x14ac:dyDescent="0.25"/>
  <cols>
    <col min="1" max="1" width="24.42578125" bestFit="1" customWidth="1"/>
  </cols>
  <sheetData>
    <row r="1" spans="1:2" x14ac:dyDescent="0.25">
      <c r="A1" t="s">
        <v>390</v>
      </c>
      <c r="B1" t="s">
        <v>391</v>
      </c>
    </row>
    <row r="2" spans="1:2" x14ac:dyDescent="0.25">
      <c r="A2" t="s">
        <v>392</v>
      </c>
      <c r="B2" t="s">
        <v>396</v>
      </c>
    </row>
    <row r="3" spans="1:2" x14ac:dyDescent="0.25">
      <c r="A3" t="s">
        <v>393</v>
      </c>
      <c r="B3" t="s">
        <v>397</v>
      </c>
    </row>
    <row r="4" spans="1:2" x14ac:dyDescent="0.25">
      <c r="A4" t="s">
        <v>394</v>
      </c>
      <c r="B4" t="s">
        <v>398</v>
      </c>
    </row>
    <row r="5" spans="1:2" x14ac:dyDescent="0.25">
      <c r="A5" t="s">
        <v>395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1940D-111B-4221-8D4F-BCD219B42F44}">
  <dimension ref="A1:AB80"/>
  <sheetViews>
    <sheetView tabSelected="1" topLeftCell="A54" workbookViewId="0">
      <selection activeCell="E79" sqref="E79"/>
    </sheetView>
  </sheetViews>
  <sheetFormatPr defaultRowHeight="15" x14ac:dyDescent="0.25"/>
  <cols>
    <col min="1" max="1" width="43.85546875" style="20" bestFit="1" customWidth="1"/>
    <col min="2" max="2" width="19" bestFit="1" customWidth="1"/>
    <col min="3" max="3" width="9.140625" customWidth="1"/>
    <col min="5" max="5" width="25.7109375" style="20" customWidth="1"/>
    <col min="6" max="6" width="33.85546875" customWidth="1"/>
    <col min="7" max="7" width="13.5703125" bestFit="1" customWidth="1"/>
    <col min="11" max="11" width="61.28515625" bestFit="1" customWidth="1"/>
    <col min="12" max="12" width="13.28515625" customWidth="1"/>
    <col min="16" max="16" width="61.42578125" bestFit="1" customWidth="1"/>
    <col min="17" max="17" width="15.85546875" customWidth="1"/>
    <col min="21" max="21" width="44.42578125" bestFit="1" customWidth="1"/>
    <col min="26" max="26" width="12" bestFit="1" customWidth="1"/>
    <col min="28" max="28" width="16.85546875" bestFit="1" customWidth="1"/>
  </cols>
  <sheetData>
    <row r="1" spans="1:28" x14ac:dyDescent="0.25">
      <c r="A1" s="19" t="s">
        <v>551</v>
      </c>
      <c r="B1" s="12"/>
    </row>
    <row r="2" spans="1:28" ht="30" x14ac:dyDescent="0.25">
      <c r="A2" s="20" t="s">
        <v>496</v>
      </c>
    </row>
    <row r="3" spans="1:28" x14ac:dyDescent="0.25">
      <c r="A3" s="20" t="s">
        <v>501</v>
      </c>
      <c r="B3" s="14">
        <v>0.4</v>
      </c>
    </row>
    <row r="4" spans="1:28" x14ac:dyDescent="0.25">
      <c r="A4" s="20" t="s">
        <v>511</v>
      </c>
      <c r="B4" s="14">
        <v>0.2</v>
      </c>
    </row>
    <row r="5" spans="1:28" x14ac:dyDescent="0.25">
      <c r="A5" s="20" t="s">
        <v>510</v>
      </c>
      <c r="B5" s="14">
        <v>0.2</v>
      </c>
    </row>
    <row r="6" spans="1:28" x14ac:dyDescent="0.25">
      <c r="A6" s="20" t="s">
        <v>512</v>
      </c>
      <c r="B6" s="14">
        <v>0.2</v>
      </c>
    </row>
    <row r="8" spans="1:28" x14ac:dyDescent="0.25">
      <c r="A8" s="20" t="s">
        <v>498</v>
      </c>
      <c r="F8" t="s">
        <v>513</v>
      </c>
      <c r="K8" t="s">
        <v>518</v>
      </c>
      <c r="P8" t="s">
        <v>530</v>
      </c>
    </row>
    <row r="9" spans="1:28" x14ac:dyDescent="0.25">
      <c r="A9" s="21" t="s">
        <v>500</v>
      </c>
      <c r="B9" s="5" t="s">
        <v>565</v>
      </c>
      <c r="C9" s="5" t="s">
        <v>495</v>
      </c>
      <c r="D9" s="5" t="s">
        <v>497</v>
      </c>
      <c r="F9" s="5" t="s">
        <v>514</v>
      </c>
      <c r="G9" s="5" t="s">
        <v>565</v>
      </c>
      <c r="H9" s="5" t="s">
        <v>495</v>
      </c>
      <c r="I9" s="5" t="s">
        <v>497</v>
      </c>
      <c r="K9" s="5" t="s">
        <v>514</v>
      </c>
      <c r="L9" s="5" t="s">
        <v>565</v>
      </c>
      <c r="M9" s="5" t="s">
        <v>495</v>
      </c>
      <c r="N9" s="5" t="s">
        <v>497</v>
      </c>
      <c r="P9" s="5" t="s">
        <v>514</v>
      </c>
      <c r="Q9" s="5" t="s">
        <v>592</v>
      </c>
      <c r="R9" s="5" t="s">
        <v>495</v>
      </c>
      <c r="S9" s="5" t="s">
        <v>497</v>
      </c>
      <c r="U9" s="8" t="s">
        <v>544</v>
      </c>
    </row>
    <row r="10" spans="1:28" x14ac:dyDescent="0.25">
      <c r="A10" s="22" t="s">
        <v>493</v>
      </c>
      <c r="B10" s="6" t="s">
        <v>566</v>
      </c>
      <c r="C10" s="5">
        <v>1</v>
      </c>
      <c r="D10" s="10">
        <f>IF(B10="ada",((C10/$C$18*$B$3)),0)</f>
        <v>3.6363636363636369E-2</v>
      </c>
      <c r="F10" s="6" t="s">
        <v>534</v>
      </c>
      <c r="G10" s="6" t="s">
        <v>566</v>
      </c>
      <c r="H10" s="5">
        <v>2</v>
      </c>
      <c r="I10" s="10">
        <f>IF(G10="ada",(H10/$H$13*$B$4),0)</f>
        <v>8.0000000000000016E-2</v>
      </c>
      <c r="K10" s="6" t="s">
        <v>552</v>
      </c>
      <c r="L10" s="6" t="s">
        <v>566</v>
      </c>
      <c r="M10" s="5">
        <v>1</v>
      </c>
      <c r="N10" s="10">
        <f>IF(L10="ada",(M10/$M$18*$B$5),0)</f>
        <v>2.5000000000000001E-2</v>
      </c>
      <c r="P10" s="6" t="s">
        <v>531</v>
      </c>
      <c r="Q10" s="6" t="s">
        <v>593</v>
      </c>
      <c r="R10" s="5">
        <v>2</v>
      </c>
      <c r="S10" s="10">
        <f>IF(Q10="Ya",(R10/$R$18*$B$6),0)</f>
        <v>3.6363636363636369E-2</v>
      </c>
      <c r="U10" s="8" t="s">
        <v>598</v>
      </c>
      <c r="V10">
        <v>20</v>
      </c>
      <c r="W10" t="s">
        <v>596</v>
      </c>
      <c r="Z10">
        <f>1933249038000+4280387287000</f>
        <v>6213636325000</v>
      </c>
      <c r="AA10">
        <v>75000</v>
      </c>
      <c r="AB10" s="31">
        <f>+Z10/AA10</f>
        <v>82848484.333333328</v>
      </c>
    </row>
    <row r="11" spans="1:28" x14ac:dyDescent="0.25">
      <c r="A11" s="22" t="s">
        <v>494</v>
      </c>
      <c r="B11" s="6" t="s">
        <v>566</v>
      </c>
      <c r="C11" s="5">
        <v>1</v>
      </c>
      <c r="D11" s="10">
        <f t="shared" ref="D11:D17" si="0">IF(B11="ada",((C11/$C$18*$B$3)),0)</f>
        <v>3.6363636363636369E-2</v>
      </c>
      <c r="F11" s="6" t="s">
        <v>516</v>
      </c>
      <c r="G11" s="6" t="s">
        <v>566</v>
      </c>
      <c r="H11" s="5">
        <v>1</v>
      </c>
      <c r="I11" s="10">
        <f t="shared" ref="I11:I12" si="1">IF(G11="ada",(H11/$H$13*$B$4),0)</f>
        <v>4.0000000000000008E-2</v>
      </c>
      <c r="K11" s="6" t="s">
        <v>553</v>
      </c>
      <c r="L11" s="6" t="s">
        <v>566</v>
      </c>
      <c r="M11" s="5">
        <v>1</v>
      </c>
      <c r="N11" s="10">
        <f t="shared" ref="N11:N17" si="2">IF(L11="ada",(M11/$M$18*$B$5),0)</f>
        <v>2.5000000000000001E-2</v>
      </c>
      <c r="P11" s="6" t="s">
        <v>541</v>
      </c>
      <c r="Q11" s="6" t="s">
        <v>593</v>
      </c>
      <c r="R11" s="5">
        <v>2</v>
      </c>
      <c r="S11" s="10">
        <f t="shared" ref="S11:S17" si="3">IF(Q11="Ya",(R11/$R$18*$B$6),0)</f>
        <v>3.6363636363636369E-2</v>
      </c>
      <c r="U11" s="8" t="s">
        <v>599</v>
      </c>
      <c r="V11">
        <v>4.5</v>
      </c>
      <c r="W11" t="s">
        <v>596</v>
      </c>
      <c r="AB11" s="32">
        <f>+AB10/1000000000</f>
        <v>8.2848484333333333E-2</v>
      </c>
    </row>
    <row r="12" spans="1:28" x14ac:dyDescent="0.25">
      <c r="A12" s="22" t="s">
        <v>502</v>
      </c>
      <c r="B12" s="6" t="s">
        <v>566</v>
      </c>
      <c r="C12" s="5">
        <v>1</v>
      </c>
      <c r="D12" s="10">
        <f t="shared" si="0"/>
        <v>3.6363636363636369E-2</v>
      </c>
      <c r="F12" s="6" t="s">
        <v>533</v>
      </c>
      <c r="G12" s="6" t="s">
        <v>566</v>
      </c>
      <c r="H12" s="5">
        <v>2</v>
      </c>
      <c r="I12" s="10">
        <f t="shared" si="1"/>
        <v>8.0000000000000016E-2</v>
      </c>
      <c r="K12" s="6" t="s">
        <v>554</v>
      </c>
      <c r="L12" s="6" t="s">
        <v>566</v>
      </c>
      <c r="M12" s="5">
        <v>1</v>
      </c>
      <c r="N12" s="10">
        <f t="shared" si="2"/>
        <v>2.5000000000000001E-2</v>
      </c>
      <c r="P12" s="7" t="s">
        <v>577</v>
      </c>
      <c r="Q12" s="6" t="s">
        <v>593</v>
      </c>
      <c r="R12" s="5">
        <v>2</v>
      </c>
      <c r="S12" s="10">
        <f t="shared" si="3"/>
        <v>3.6363636363636369E-2</v>
      </c>
      <c r="U12" s="8" t="s">
        <v>564</v>
      </c>
    </row>
    <row r="13" spans="1:28" x14ac:dyDescent="0.25">
      <c r="A13" s="22" t="s">
        <v>546</v>
      </c>
      <c r="B13" s="6" t="s">
        <v>566</v>
      </c>
      <c r="C13" s="5">
        <v>1</v>
      </c>
      <c r="D13" s="10">
        <f t="shared" si="0"/>
        <v>3.6363636363636369E-2</v>
      </c>
      <c r="F13" s="6" t="s">
        <v>556</v>
      </c>
      <c r="G13" s="6"/>
      <c r="H13" s="5">
        <f>SUM(H10:H12)</f>
        <v>5</v>
      </c>
      <c r="I13" s="11">
        <f>SUM(I10:I12)</f>
        <v>0.20000000000000004</v>
      </c>
      <c r="K13" s="6" t="s">
        <v>555</v>
      </c>
      <c r="L13" s="6" t="s">
        <v>566</v>
      </c>
      <c r="M13" s="5">
        <v>1</v>
      </c>
      <c r="N13" s="10">
        <f t="shared" si="2"/>
        <v>2.5000000000000001E-2</v>
      </c>
      <c r="P13" s="7" t="s">
        <v>576</v>
      </c>
      <c r="Q13" s="6" t="s">
        <v>593</v>
      </c>
      <c r="R13" s="5">
        <v>1</v>
      </c>
      <c r="S13" s="10">
        <f t="shared" si="3"/>
        <v>1.8181818181818184E-2</v>
      </c>
    </row>
    <row r="14" spans="1:28" x14ac:dyDescent="0.25">
      <c r="A14" s="22" t="s">
        <v>550</v>
      </c>
      <c r="B14" s="6" t="s">
        <v>566</v>
      </c>
      <c r="C14" s="5">
        <v>1</v>
      </c>
      <c r="D14" s="10">
        <f t="shared" si="0"/>
        <v>3.6363636363636369E-2</v>
      </c>
      <c r="K14" s="7" t="s">
        <v>523</v>
      </c>
      <c r="L14" s="6" t="s">
        <v>566</v>
      </c>
      <c r="M14" s="5">
        <v>1</v>
      </c>
      <c r="N14" s="10">
        <f t="shared" si="2"/>
        <v>2.5000000000000001E-2</v>
      </c>
      <c r="P14" s="7" t="s">
        <v>560</v>
      </c>
      <c r="Q14" s="6" t="s">
        <v>593</v>
      </c>
      <c r="R14" s="5">
        <v>1</v>
      </c>
      <c r="S14" s="10">
        <f t="shared" si="3"/>
        <v>1.8181818181818184E-2</v>
      </c>
      <c r="U14" s="8" t="s">
        <v>545</v>
      </c>
    </row>
    <row r="15" spans="1:28" x14ac:dyDescent="0.25">
      <c r="A15" s="22" t="s">
        <v>549</v>
      </c>
      <c r="B15" s="6" t="s">
        <v>566</v>
      </c>
      <c r="C15" s="5">
        <v>2</v>
      </c>
      <c r="D15" s="10">
        <f t="shared" si="0"/>
        <v>7.2727272727272738E-2</v>
      </c>
      <c r="K15" s="7" t="s">
        <v>557</v>
      </c>
      <c r="L15" s="6" t="s">
        <v>566</v>
      </c>
      <c r="M15" s="5">
        <v>1</v>
      </c>
      <c r="N15" s="10">
        <f t="shared" si="2"/>
        <v>2.5000000000000001E-2</v>
      </c>
      <c r="P15" s="7" t="s">
        <v>561</v>
      </c>
      <c r="Q15" s="6" t="s">
        <v>593</v>
      </c>
      <c r="R15" s="5">
        <v>1</v>
      </c>
      <c r="S15" s="10">
        <f t="shared" si="3"/>
        <v>1.8181818181818184E-2</v>
      </c>
      <c r="U15" s="8" t="s">
        <v>598</v>
      </c>
      <c r="V15">
        <v>1</v>
      </c>
      <c r="W15" t="s">
        <v>597</v>
      </c>
    </row>
    <row r="16" spans="1:28" x14ac:dyDescent="0.25">
      <c r="A16" s="22" t="s">
        <v>547</v>
      </c>
      <c r="B16" s="6" t="s">
        <v>566</v>
      </c>
      <c r="C16" s="5">
        <v>2</v>
      </c>
      <c r="D16" s="10">
        <f t="shared" si="0"/>
        <v>7.2727272727272738E-2</v>
      </c>
      <c r="K16" s="7" t="s">
        <v>558</v>
      </c>
      <c r="L16" s="6" t="s">
        <v>566</v>
      </c>
      <c r="M16" s="5">
        <v>1</v>
      </c>
      <c r="N16" s="10">
        <f t="shared" si="2"/>
        <v>2.5000000000000001E-2</v>
      </c>
      <c r="P16" s="7" t="s">
        <v>562</v>
      </c>
      <c r="Q16" s="6" t="s">
        <v>593</v>
      </c>
      <c r="R16" s="5">
        <v>1</v>
      </c>
      <c r="S16" s="10">
        <f t="shared" si="3"/>
        <v>1.8181818181818184E-2</v>
      </c>
      <c r="U16" s="8" t="s">
        <v>599</v>
      </c>
      <c r="V16">
        <v>0.1</v>
      </c>
      <c r="W16" t="s">
        <v>597</v>
      </c>
    </row>
    <row r="17" spans="1:23" x14ac:dyDescent="0.25">
      <c r="A17" s="22" t="s">
        <v>548</v>
      </c>
      <c r="B17" s="6" t="s">
        <v>566</v>
      </c>
      <c r="C17" s="5">
        <v>2</v>
      </c>
      <c r="D17" s="10">
        <f t="shared" si="0"/>
        <v>7.2727272727272738E-2</v>
      </c>
      <c r="K17" s="7" t="s">
        <v>559</v>
      </c>
      <c r="L17" s="6" t="s">
        <v>566</v>
      </c>
      <c r="M17" s="5">
        <v>1</v>
      </c>
      <c r="N17" s="10">
        <f t="shared" si="2"/>
        <v>2.5000000000000001E-2</v>
      </c>
      <c r="P17" s="7" t="s">
        <v>563</v>
      </c>
      <c r="Q17" s="6" t="s">
        <v>593</v>
      </c>
      <c r="R17" s="5">
        <v>1</v>
      </c>
      <c r="S17" s="10">
        <f t="shared" si="3"/>
        <v>1.8181818181818184E-2</v>
      </c>
      <c r="U17" s="8" t="s">
        <v>564</v>
      </c>
      <c r="V17" t="s">
        <v>578</v>
      </c>
    </row>
    <row r="18" spans="1:23" x14ac:dyDescent="0.25">
      <c r="A18" s="22" t="s">
        <v>556</v>
      </c>
      <c r="B18" s="6"/>
      <c r="C18" s="5">
        <f>SUM(C10:C17)</f>
        <v>11</v>
      </c>
      <c r="D18" s="11">
        <f>SUM(D10:D17)</f>
        <v>0.40000000000000008</v>
      </c>
      <c r="K18" s="6" t="s">
        <v>556</v>
      </c>
      <c r="L18" s="6"/>
      <c r="M18" s="5">
        <f>SUM(M10:M17)</f>
        <v>8</v>
      </c>
      <c r="N18" s="11">
        <f>SUM(N10:N17)</f>
        <v>0.19999999999999998</v>
      </c>
      <c r="P18" s="6" t="s">
        <v>556</v>
      </c>
      <c r="Q18" s="6"/>
      <c r="R18" s="5">
        <f>SUM(R10:R17)</f>
        <v>11</v>
      </c>
      <c r="S18" s="11">
        <f>SUM(S10:S17)</f>
        <v>0.20000000000000004</v>
      </c>
    </row>
    <row r="19" spans="1:23" x14ac:dyDescent="0.25">
      <c r="U19" s="8" t="s">
        <v>579</v>
      </c>
      <c r="V19">
        <f>100/3000</f>
        <v>3.3333333333333333E-2</v>
      </c>
      <c r="W19" t="s">
        <v>580</v>
      </c>
    </row>
    <row r="20" spans="1:23" s="15" customFormat="1" x14ac:dyDescent="0.25">
      <c r="A20" s="23" t="s">
        <v>568</v>
      </c>
      <c r="B20" s="8"/>
      <c r="E20" s="24"/>
      <c r="U20" s="8"/>
    </row>
    <row r="21" spans="1:23" s="15" customFormat="1" x14ac:dyDescent="0.25">
      <c r="A21" s="23" t="s">
        <v>569</v>
      </c>
      <c r="B21" s="8"/>
      <c r="E21" s="24"/>
      <c r="U21" s="8"/>
      <c r="V21"/>
      <c r="W21"/>
    </row>
    <row r="22" spans="1:23" s="15" customFormat="1" x14ac:dyDescent="0.25">
      <c r="A22" s="23" t="s">
        <v>590</v>
      </c>
      <c r="B22" s="15" t="s">
        <v>591</v>
      </c>
      <c r="E22" s="24"/>
    </row>
    <row r="23" spans="1:23" s="15" customFormat="1" x14ac:dyDescent="0.25">
      <c r="A23" s="23" t="s">
        <v>570</v>
      </c>
      <c r="B23" s="29">
        <v>100</v>
      </c>
      <c r="C23" s="15" t="s">
        <v>600</v>
      </c>
      <c r="E23" s="24"/>
    </row>
    <row r="24" spans="1:23" s="15" customFormat="1" x14ac:dyDescent="0.25">
      <c r="A24" s="23" t="s">
        <v>571</v>
      </c>
      <c r="B24" s="8">
        <v>200</v>
      </c>
      <c r="C24" s="15" t="s">
        <v>19</v>
      </c>
      <c r="E24" s="24"/>
    </row>
    <row r="25" spans="1:23" s="15" customFormat="1" x14ac:dyDescent="0.25">
      <c r="A25" s="23" t="s">
        <v>572</v>
      </c>
      <c r="B25" s="8">
        <v>2000</v>
      </c>
      <c r="C25" s="15" t="s">
        <v>595</v>
      </c>
      <c r="E25" s="24"/>
    </row>
    <row r="26" spans="1:23" s="15" customFormat="1" x14ac:dyDescent="0.25">
      <c r="A26" s="23" t="s">
        <v>573</v>
      </c>
      <c r="B26" s="33">
        <f>+B23/B24</f>
        <v>0.5</v>
      </c>
      <c r="C26" s="15" t="s">
        <v>601</v>
      </c>
      <c r="E26" s="24" t="str">
        <f>IF(B26&lt;V10,"ok","tidak ok")</f>
        <v>ok</v>
      </c>
    </row>
    <row r="27" spans="1:23" s="15" customFormat="1" x14ac:dyDescent="0.25">
      <c r="A27" s="23" t="s">
        <v>574</v>
      </c>
      <c r="B27" s="33">
        <f>+B23/B26</f>
        <v>200</v>
      </c>
      <c r="C27" s="15" t="s">
        <v>602</v>
      </c>
      <c r="E27" s="24" t="str">
        <f>IF(B27&lt;V11,"ok","tidak ok")</f>
        <v>tidak ok</v>
      </c>
    </row>
    <row r="28" spans="1:23" s="15" customFormat="1" x14ac:dyDescent="0.25">
      <c r="A28" s="23" t="s">
        <v>575</v>
      </c>
      <c r="B28" s="30">
        <f>+B24/B25</f>
        <v>0.1</v>
      </c>
      <c r="C28" s="15" t="s">
        <v>580</v>
      </c>
      <c r="E28" s="24" t="str">
        <f>IF(B28&lt;V19,"ok","tidak ok")</f>
        <v>tidak ok</v>
      </c>
    </row>
    <row r="29" spans="1:23" s="15" customFormat="1" x14ac:dyDescent="0.25">
      <c r="A29" s="23"/>
      <c r="B29" s="8"/>
      <c r="E29" s="24"/>
    </row>
    <row r="30" spans="1:23" s="15" customFormat="1" x14ac:dyDescent="0.25">
      <c r="A30" s="23"/>
      <c r="B30" s="8"/>
      <c r="E30" s="24"/>
    </row>
    <row r="31" spans="1:23" s="15" customFormat="1" x14ac:dyDescent="0.25">
      <c r="A31" s="23"/>
      <c r="B31" s="8"/>
      <c r="E31" s="24"/>
    </row>
    <row r="32" spans="1:23" s="15" customFormat="1" x14ac:dyDescent="0.25">
      <c r="A32" s="23"/>
      <c r="B32" s="8"/>
      <c r="E32" s="24"/>
    </row>
    <row r="33" spans="1:5" s="15" customFormat="1" x14ac:dyDescent="0.25">
      <c r="A33" s="23" t="s">
        <v>581</v>
      </c>
      <c r="B33" s="8"/>
      <c r="E33" s="24"/>
    </row>
    <row r="34" spans="1:5" s="15" customFormat="1" x14ac:dyDescent="0.25">
      <c r="A34" s="24" t="s">
        <v>501</v>
      </c>
      <c r="B34" s="16">
        <f>D49</f>
        <v>7.2727272727272738E-2</v>
      </c>
      <c r="E34" s="24"/>
    </row>
    <row r="35" spans="1:5" s="15" customFormat="1" x14ac:dyDescent="0.25">
      <c r="A35" s="24" t="s">
        <v>511</v>
      </c>
      <c r="B35" s="16">
        <f>D56</f>
        <v>0.12000000000000002</v>
      </c>
      <c r="E35" s="24"/>
    </row>
    <row r="36" spans="1:5" s="15" customFormat="1" x14ac:dyDescent="0.25">
      <c r="A36" s="24" t="s">
        <v>510</v>
      </c>
      <c r="B36" s="16">
        <f>D68</f>
        <v>7.5000000000000011E-2</v>
      </c>
      <c r="E36" s="24"/>
    </row>
    <row r="37" spans="1:5" s="15" customFormat="1" x14ac:dyDescent="0.25">
      <c r="A37" s="24" t="s">
        <v>512</v>
      </c>
      <c r="B37" s="16">
        <f>D77</f>
        <v>0</v>
      </c>
      <c r="E37" s="24"/>
    </row>
    <row r="38" spans="1:5" s="15" customFormat="1" x14ac:dyDescent="0.25">
      <c r="A38" s="24" t="s">
        <v>499</v>
      </c>
      <c r="B38" s="16">
        <f>SUM(B34:B37)</f>
        <v>0.26772727272727276</v>
      </c>
      <c r="E38" s="24"/>
    </row>
    <row r="39" spans="1:5" s="15" customFormat="1" x14ac:dyDescent="0.25">
      <c r="A39" s="24" t="s">
        <v>498</v>
      </c>
      <c r="E39" s="24"/>
    </row>
    <row r="40" spans="1:5" s="15" customFormat="1" x14ac:dyDescent="0.25">
      <c r="A40" s="25" t="s">
        <v>500</v>
      </c>
      <c r="B40" s="17" t="s">
        <v>565</v>
      </c>
      <c r="C40" s="17" t="s">
        <v>495</v>
      </c>
      <c r="D40" s="17" t="s">
        <v>497</v>
      </c>
      <c r="E40" s="25" t="s">
        <v>582</v>
      </c>
    </row>
    <row r="41" spans="1:5" s="15" customFormat="1" x14ac:dyDescent="0.25">
      <c r="A41" s="26" t="s">
        <v>493</v>
      </c>
      <c r="B41" s="7" t="s">
        <v>566</v>
      </c>
      <c r="C41" s="17">
        <v>1</v>
      </c>
      <c r="D41" s="18">
        <f>IF(B41="ada",((C41/$C$18*40%)),0)</f>
        <v>3.6363636363636369E-2</v>
      </c>
      <c r="E41" s="27" t="s">
        <v>583</v>
      </c>
    </row>
    <row r="42" spans="1:5" s="15" customFormat="1" x14ac:dyDescent="0.25">
      <c r="A42" s="26" t="s">
        <v>494</v>
      </c>
      <c r="B42" s="7" t="s">
        <v>567</v>
      </c>
      <c r="C42" s="17">
        <v>1</v>
      </c>
      <c r="D42" s="18">
        <f t="shared" ref="D42:D48" si="4">IF(B42="ada",((C42/$C$18*40%)),0)</f>
        <v>0</v>
      </c>
      <c r="E42" s="27"/>
    </row>
    <row r="43" spans="1:5" s="15" customFormat="1" x14ac:dyDescent="0.25">
      <c r="A43" s="26" t="s">
        <v>502</v>
      </c>
      <c r="B43" s="7" t="s">
        <v>566</v>
      </c>
      <c r="C43" s="17">
        <v>1</v>
      </c>
      <c r="D43" s="18">
        <f t="shared" si="4"/>
        <v>3.6363636363636369E-2</v>
      </c>
      <c r="E43" s="27" t="s">
        <v>584</v>
      </c>
    </row>
    <row r="44" spans="1:5" s="15" customFormat="1" x14ac:dyDescent="0.25">
      <c r="A44" s="26" t="s">
        <v>546</v>
      </c>
      <c r="B44" s="7" t="s">
        <v>567</v>
      </c>
      <c r="C44" s="17">
        <v>1</v>
      </c>
      <c r="D44" s="18">
        <f t="shared" si="4"/>
        <v>0</v>
      </c>
      <c r="E44" s="27"/>
    </row>
    <row r="45" spans="1:5" s="15" customFormat="1" x14ac:dyDescent="0.25">
      <c r="A45" s="26" t="s">
        <v>550</v>
      </c>
      <c r="B45" s="7" t="s">
        <v>567</v>
      </c>
      <c r="C45" s="17">
        <v>1</v>
      </c>
      <c r="D45" s="18">
        <f t="shared" si="4"/>
        <v>0</v>
      </c>
      <c r="E45" s="27"/>
    </row>
    <row r="46" spans="1:5" s="15" customFormat="1" x14ac:dyDescent="0.25">
      <c r="A46" s="26" t="s">
        <v>549</v>
      </c>
      <c r="B46" s="7" t="s">
        <v>567</v>
      </c>
      <c r="C46" s="17">
        <v>2</v>
      </c>
      <c r="D46" s="18">
        <f t="shared" si="4"/>
        <v>0</v>
      </c>
      <c r="E46" s="27"/>
    </row>
    <row r="47" spans="1:5" s="15" customFormat="1" x14ac:dyDescent="0.25">
      <c r="A47" s="26" t="s">
        <v>547</v>
      </c>
      <c r="B47" s="7" t="s">
        <v>567</v>
      </c>
      <c r="C47" s="17">
        <v>2</v>
      </c>
      <c r="D47" s="18">
        <f t="shared" si="4"/>
        <v>0</v>
      </c>
      <c r="E47" s="27"/>
    </row>
    <row r="48" spans="1:5" s="15" customFormat="1" x14ac:dyDescent="0.25">
      <c r="A48" s="26" t="s">
        <v>548</v>
      </c>
      <c r="B48" s="7" t="s">
        <v>567</v>
      </c>
      <c r="C48" s="17">
        <v>2</v>
      </c>
      <c r="D48" s="18">
        <f t="shared" si="4"/>
        <v>0</v>
      </c>
      <c r="E48" s="27"/>
    </row>
    <row r="49" spans="1:5" s="15" customFormat="1" x14ac:dyDescent="0.25">
      <c r="A49" s="26" t="s">
        <v>499</v>
      </c>
      <c r="B49" s="7"/>
      <c r="C49" s="17">
        <f>C18</f>
        <v>11</v>
      </c>
      <c r="D49" s="18">
        <f>SUM(D41:D48)</f>
        <v>7.2727272727272738E-2</v>
      </c>
      <c r="E49" s="27"/>
    </row>
    <row r="50" spans="1:5" s="15" customFormat="1" x14ac:dyDescent="0.25">
      <c r="A50" s="24"/>
      <c r="E50" s="24"/>
    </row>
    <row r="51" spans="1:5" x14ac:dyDescent="0.25">
      <c r="A51" s="24" t="s">
        <v>513</v>
      </c>
      <c r="B51" s="15"/>
      <c r="C51" s="15"/>
      <c r="D51" s="15"/>
    </row>
    <row r="52" spans="1:5" x14ac:dyDescent="0.25">
      <c r="A52" s="25" t="s">
        <v>514</v>
      </c>
      <c r="B52" s="7" t="s">
        <v>565</v>
      </c>
      <c r="C52" s="17" t="s">
        <v>495</v>
      </c>
      <c r="D52" s="17" t="s">
        <v>497</v>
      </c>
      <c r="E52" s="21" t="s">
        <v>582</v>
      </c>
    </row>
    <row r="53" spans="1:5" x14ac:dyDescent="0.25">
      <c r="A53" s="26" t="s">
        <v>515</v>
      </c>
      <c r="B53" s="7" t="s">
        <v>566</v>
      </c>
      <c r="C53" s="17">
        <v>2</v>
      </c>
      <c r="D53" s="18">
        <f t="shared" ref="D53:D55" si="5">IF(B53="ada",(C53/$H$13*20%),0)</f>
        <v>8.0000000000000016E-2</v>
      </c>
      <c r="E53" s="28" t="s">
        <v>585</v>
      </c>
    </row>
    <row r="54" spans="1:5" x14ac:dyDescent="0.25">
      <c r="A54" s="26" t="s">
        <v>516</v>
      </c>
      <c r="B54" s="7" t="s">
        <v>566</v>
      </c>
      <c r="C54" s="17">
        <v>1</v>
      </c>
      <c r="D54" s="18">
        <f t="shared" si="5"/>
        <v>4.0000000000000008E-2</v>
      </c>
      <c r="E54" s="28" t="s">
        <v>586</v>
      </c>
    </row>
    <row r="55" spans="1:5" x14ac:dyDescent="0.25">
      <c r="A55" s="26" t="s">
        <v>533</v>
      </c>
      <c r="B55" s="7" t="s">
        <v>567</v>
      </c>
      <c r="C55" s="17">
        <v>0</v>
      </c>
      <c r="D55" s="18">
        <f t="shared" si="5"/>
        <v>0</v>
      </c>
      <c r="E55" s="28"/>
    </row>
    <row r="56" spans="1:5" x14ac:dyDescent="0.25">
      <c r="A56" s="26" t="s">
        <v>499</v>
      </c>
      <c r="B56" s="7"/>
      <c r="C56" s="17">
        <f>H13</f>
        <v>5</v>
      </c>
      <c r="D56" s="18">
        <f>SUM(D53:D55)</f>
        <v>0.12000000000000002</v>
      </c>
      <c r="E56" s="28"/>
    </row>
    <row r="58" spans="1:5" x14ac:dyDescent="0.25">
      <c r="A58" s="24" t="s">
        <v>518</v>
      </c>
      <c r="B58" s="15"/>
      <c r="C58" s="15"/>
      <c r="D58" s="15"/>
    </row>
    <row r="59" spans="1:5" x14ac:dyDescent="0.25">
      <c r="A59" s="25" t="s">
        <v>514</v>
      </c>
      <c r="B59" s="17" t="s">
        <v>565</v>
      </c>
      <c r="C59" s="17" t="s">
        <v>495</v>
      </c>
      <c r="D59" s="17" t="s">
        <v>497</v>
      </c>
      <c r="E59" s="21" t="s">
        <v>582</v>
      </c>
    </row>
    <row r="60" spans="1:5" x14ac:dyDescent="0.25">
      <c r="A60" s="26" t="s">
        <v>552</v>
      </c>
      <c r="B60" s="7" t="s">
        <v>567</v>
      </c>
      <c r="C60" s="17">
        <v>1</v>
      </c>
      <c r="D60" s="18">
        <f>IF(B60="ada",(C60/$M$18*$B$5),0)</f>
        <v>0</v>
      </c>
      <c r="E60" s="28"/>
    </row>
    <row r="61" spans="1:5" ht="30" x14ac:dyDescent="0.25">
      <c r="A61" s="26" t="s">
        <v>553</v>
      </c>
      <c r="B61" s="7" t="s">
        <v>566</v>
      </c>
      <c r="C61" s="17">
        <v>1</v>
      </c>
      <c r="D61" s="18">
        <f t="shared" ref="D61:D67" si="6">IF(B61="ada",(C61/$M$18*$B$5),0)</f>
        <v>2.5000000000000001E-2</v>
      </c>
      <c r="E61" s="28" t="s">
        <v>587</v>
      </c>
    </row>
    <row r="62" spans="1:5" x14ac:dyDescent="0.25">
      <c r="A62" s="26" t="s">
        <v>554</v>
      </c>
      <c r="B62" s="7" t="s">
        <v>567</v>
      </c>
      <c r="C62" s="17">
        <v>1</v>
      </c>
      <c r="D62" s="18">
        <f t="shared" si="6"/>
        <v>0</v>
      </c>
      <c r="E62" s="28"/>
    </row>
    <row r="63" spans="1:5" x14ac:dyDescent="0.25">
      <c r="A63" s="26" t="s">
        <v>555</v>
      </c>
      <c r="B63" s="7" t="s">
        <v>567</v>
      </c>
      <c r="C63" s="17">
        <v>1</v>
      </c>
      <c r="D63" s="18">
        <f t="shared" si="6"/>
        <v>0</v>
      </c>
      <c r="E63" s="28"/>
    </row>
    <row r="64" spans="1:5" x14ac:dyDescent="0.25">
      <c r="A64" s="26" t="s">
        <v>523</v>
      </c>
      <c r="B64" s="7" t="s">
        <v>566</v>
      </c>
      <c r="C64" s="17">
        <v>1</v>
      </c>
      <c r="D64" s="18">
        <f t="shared" si="6"/>
        <v>2.5000000000000001E-2</v>
      </c>
      <c r="E64" s="28" t="s">
        <v>588</v>
      </c>
    </row>
    <row r="65" spans="1:5" ht="45" x14ac:dyDescent="0.25">
      <c r="A65" s="26" t="s">
        <v>557</v>
      </c>
      <c r="B65" s="7" t="s">
        <v>566</v>
      </c>
      <c r="C65" s="17">
        <v>1</v>
      </c>
      <c r="D65" s="18">
        <f t="shared" si="6"/>
        <v>2.5000000000000001E-2</v>
      </c>
      <c r="E65" s="28" t="s">
        <v>589</v>
      </c>
    </row>
    <row r="66" spans="1:5" x14ac:dyDescent="0.25">
      <c r="A66" s="26" t="s">
        <v>558</v>
      </c>
      <c r="B66" s="7" t="s">
        <v>567</v>
      </c>
      <c r="C66" s="17">
        <v>1</v>
      </c>
      <c r="D66" s="18">
        <f t="shared" si="6"/>
        <v>0</v>
      </c>
      <c r="E66" s="28"/>
    </row>
    <row r="67" spans="1:5" x14ac:dyDescent="0.25">
      <c r="A67" s="26" t="s">
        <v>559</v>
      </c>
      <c r="B67" s="7" t="s">
        <v>567</v>
      </c>
      <c r="C67" s="17">
        <v>1</v>
      </c>
      <c r="D67" s="18">
        <f t="shared" si="6"/>
        <v>0</v>
      </c>
      <c r="E67" s="28"/>
    </row>
    <row r="68" spans="1:5" x14ac:dyDescent="0.25">
      <c r="A68" s="26" t="s">
        <v>499</v>
      </c>
      <c r="B68" s="7"/>
      <c r="C68" s="17">
        <f>SUM(C60:C67)</f>
        <v>8</v>
      </c>
      <c r="D68" s="18">
        <f>SUM(D60:D67)</f>
        <v>7.5000000000000011E-2</v>
      </c>
      <c r="E68" s="28"/>
    </row>
    <row r="70" spans="1:5" x14ac:dyDescent="0.25">
      <c r="A70" s="24" t="s">
        <v>530</v>
      </c>
      <c r="B70" s="15"/>
      <c r="C70" s="15"/>
      <c r="D70" s="15"/>
    </row>
    <row r="71" spans="1:5" x14ac:dyDescent="0.25">
      <c r="A71" s="25" t="s">
        <v>514</v>
      </c>
      <c r="B71" s="17" t="s">
        <v>592</v>
      </c>
      <c r="C71" s="17" t="s">
        <v>495</v>
      </c>
      <c r="D71" s="17" t="s">
        <v>497</v>
      </c>
      <c r="E71" s="21" t="s">
        <v>582</v>
      </c>
    </row>
    <row r="72" spans="1:5" ht="30" x14ac:dyDescent="0.25">
      <c r="A72" s="22" t="s">
        <v>531</v>
      </c>
      <c r="B72" s="7" t="s">
        <v>593</v>
      </c>
      <c r="C72" s="17">
        <v>2</v>
      </c>
      <c r="D72" s="10">
        <f>IF(B72="Ya",(C72/$R$18*$B$6),0)</f>
        <v>3.6363636363636369E-2</v>
      </c>
      <c r="E72" s="28"/>
    </row>
    <row r="73" spans="1:5" ht="30" x14ac:dyDescent="0.25">
      <c r="A73" s="22" t="s">
        <v>541</v>
      </c>
      <c r="B73" s="7" t="s">
        <v>594</v>
      </c>
      <c r="C73" s="17">
        <v>2</v>
      </c>
      <c r="D73" s="10">
        <f t="shared" ref="D73:D79" si="7">IF(B73="Ya",(C73/$R$18*$B$6),0)</f>
        <v>0</v>
      </c>
      <c r="E73" s="28"/>
    </row>
    <row r="74" spans="1:5" ht="30" x14ac:dyDescent="0.25">
      <c r="A74" s="26" t="s">
        <v>577</v>
      </c>
      <c r="B74" s="7" t="s">
        <v>594</v>
      </c>
      <c r="C74" s="17">
        <v>2</v>
      </c>
      <c r="D74" s="10">
        <f t="shared" si="7"/>
        <v>0</v>
      </c>
      <c r="E74" s="28"/>
    </row>
    <row r="75" spans="1:5" ht="30" x14ac:dyDescent="0.25">
      <c r="A75" s="26" t="s">
        <v>576</v>
      </c>
      <c r="B75" s="7" t="s">
        <v>593</v>
      </c>
      <c r="C75" s="17">
        <v>1</v>
      </c>
      <c r="D75" s="10">
        <f t="shared" si="7"/>
        <v>1.8181818181818184E-2</v>
      </c>
      <c r="E75" s="28" t="s">
        <v>603</v>
      </c>
    </row>
    <row r="76" spans="1:5" ht="30" x14ac:dyDescent="0.25">
      <c r="A76" s="26" t="s">
        <v>560</v>
      </c>
      <c r="B76" s="7" t="s">
        <v>593</v>
      </c>
      <c r="C76" s="17">
        <v>1</v>
      </c>
      <c r="D76" s="10">
        <f t="shared" si="7"/>
        <v>1.8181818181818184E-2</v>
      </c>
      <c r="E76" s="28" t="s">
        <v>604</v>
      </c>
    </row>
    <row r="77" spans="1:5" ht="30" x14ac:dyDescent="0.25">
      <c r="A77" s="26" t="s">
        <v>561</v>
      </c>
      <c r="B77" s="7" t="s">
        <v>594</v>
      </c>
      <c r="C77" s="17">
        <v>1</v>
      </c>
      <c r="D77" s="10">
        <f t="shared" si="7"/>
        <v>0</v>
      </c>
      <c r="E77" s="28"/>
    </row>
    <row r="78" spans="1:5" ht="30" x14ac:dyDescent="0.25">
      <c r="A78" s="26" t="s">
        <v>562</v>
      </c>
      <c r="B78" s="7" t="s">
        <v>593</v>
      </c>
      <c r="C78" s="17">
        <v>1</v>
      </c>
      <c r="D78" s="10">
        <f t="shared" si="7"/>
        <v>1.8181818181818184E-2</v>
      </c>
      <c r="E78" s="28"/>
    </row>
    <row r="79" spans="1:5" x14ac:dyDescent="0.25">
      <c r="A79" s="26" t="s">
        <v>563</v>
      </c>
      <c r="B79" s="7" t="s">
        <v>593</v>
      </c>
      <c r="C79" s="17">
        <v>1</v>
      </c>
      <c r="D79" s="10">
        <f t="shared" si="7"/>
        <v>1.8181818181818184E-2</v>
      </c>
      <c r="E79" s="28"/>
    </row>
    <row r="80" spans="1:5" x14ac:dyDescent="0.25">
      <c r="A80" s="26" t="s">
        <v>556</v>
      </c>
      <c r="B80" s="7"/>
      <c r="C80" s="17">
        <f>SUM(C72:C79)</f>
        <v>11</v>
      </c>
      <c r="D80" s="18">
        <f>SUM(D72:D79)</f>
        <v>0.10909090909090911</v>
      </c>
      <c r="E80" s="2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77E379-E9AD-4EF8-970E-16B4411C37F0}">
  <dimension ref="A1:R41"/>
  <sheetViews>
    <sheetView workbookViewId="0">
      <selection activeCell="F36" sqref="F36"/>
    </sheetView>
  </sheetViews>
  <sheetFormatPr defaultRowHeight="15" x14ac:dyDescent="0.25"/>
  <cols>
    <col min="1" max="1" width="43.85546875" bestFit="1" customWidth="1"/>
    <col min="6" max="6" width="33.85546875" customWidth="1"/>
    <col min="11" max="11" width="47.7109375" bestFit="1" customWidth="1"/>
    <col min="16" max="16" width="58.85546875" bestFit="1" customWidth="1"/>
  </cols>
  <sheetData>
    <row r="1" spans="1:18" x14ac:dyDescent="0.25">
      <c r="A1" t="s">
        <v>496</v>
      </c>
    </row>
    <row r="2" spans="1:18" x14ac:dyDescent="0.25">
      <c r="A2" t="s">
        <v>501</v>
      </c>
    </row>
    <row r="3" spans="1:18" x14ac:dyDescent="0.25">
      <c r="A3" t="s">
        <v>511</v>
      </c>
    </row>
    <row r="4" spans="1:18" x14ac:dyDescent="0.25">
      <c r="A4" t="s">
        <v>510</v>
      </c>
    </row>
    <row r="5" spans="1:18" x14ac:dyDescent="0.25">
      <c r="A5" t="s">
        <v>512</v>
      </c>
    </row>
    <row r="7" spans="1:18" x14ac:dyDescent="0.25">
      <c r="A7" t="s">
        <v>498</v>
      </c>
      <c r="F7" t="s">
        <v>513</v>
      </c>
      <c r="K7" t="s">
        <v>518</v>
      </c>
      <c r="P7" t="s">
        <v>530</v>
      </c>
    </row>
    <row r="8" spans="1:18" x14ac:dyDescent="0.25">
      <c r="A8" s="5" t="s">
        <v>500</v>
      </c>
      <c r="B8" s="5" t="s">
        <v>495</v>
      </c>
      <c r="C8" s="5" t="s">
        <v>497</v>
      </c>
      <c r="F8" s="5" t="s">
        <v>514</v>
      </c>
      <c r="G8" s="5" t="s">
        <v>495</v>
      </c>
      <c r="H8" s="5" t="s">
        <v>497</v>
      </c>
      <c r="K8" s="5" t="s">
        <v>514</v>
      </c>
      <c r="L8" s="5" t="s">
        <v>495</v>
      </c>
      <c r="M8" s="5" t="s">
        <v>497</v>
      </c>
      <c r="P8" s="5" t="s">
        <v>514</v>
      </c>
      <c r="Q8" s="5" t="s">
        <v>495</v>
      </c>
      <c r="R8" s="5" t="s">
        <v>497</v>
      </c>
    </row>
    <row r="9" spans="1:18" x14ac:dyDescent="0.25">
      <c r="A9" s="6" t="s">
        <v>493</v>
      </c>
      <c r="B9" s="5">
        <v>1</v>
      </c>
      <c r="C9" s="10">
        <f>B9/$B$19*40%</f>
        <v>4.0000000000000008E-2</v>
      </c>
      <c r="F9" s="6" t="s">
        <v>534</v>
      </c>
      <c r="G9" s="5">
        <v>1</v>
      </c>
      <c r="H9" s="10">
        <f>G9/$G$13*20%</f>
        <v>0.05</v>
      </c>
      <c r="K9" s="6" t="s">
        <v>519</v>
      </c>
      <c r="L9" s="5">
        <v>1</v>
      </c>
      <c r="M9" s="10">
        <f t="shared" ref="M9:M19" si="0">L9/$L$20*20%</f>
        <v>1.8181818181818184E-2</v>
      </c>
      <c r="P9" s="6" t="s">
        <v>531</v>
      </c>
      <c r="Q9" s="5">
        <v>1</v>
      </c>
      <c r="R9" s="10">
        <f>Q9/$Q$14*20%</f>
        <v>4.0000000000000008E-2</v>
      </c>
    </row>
    <row r="10" spans="1:18" x14ac:dyDescent="0.25">
      <c r="A10" s="6" t="s">
        <v>494</v>
      </c>
      <c r="B10" s="5">
        <v>1</v>
      </c>
      <c r="C10" s="10">
        <f t="shared" ref="C10:C18" si="1">B10/$B$19*40%</f>
        <v>4.0000000000000008E-2</v>
      </c>
      <c r="F10" s="6" t="s">
        <v>516</v>
      </c>
      <c r="G10" s="5">
        <v>1</v>
      </c>
      <c r="H10" s="10">
        <f t="shared" ref="H10:H12" si="2">G10/$G$13*20%</f>
        <v>0.05</v>
      </c>
      <c r="K10" s="6" t="s">
        <v>520</v>
      </c>
      <c r="L10" s="5">
        <v>1</v>
      </c>
      <c r="M10" s="10">
        <f t="shared" si="0"/>
        <v>1.8181818181818184E-2</v>
      </c>
      <c r="P10" s="6" t="s">
        <v>541</v>
      </c>
      <c r="Q10" s="5">
        <v>1</v>
      </c>
      <c r="R10" s="10">
        <f>Q10/$Q$14*20%</f>
        <v>4.0000000000000008E-2</v>
      </c>
    </row>
    <row r="11" spans="1:18" x14ac:dyDescent="0.25">
      <c r="A11" s="6" t="s">
        <v>502</v>
      </c>
      <c r="B11" s="5">
        <v>1</v>
      </c>
      <c r="C11" s="10">
        <f t="shared" si="1"/>
        <v>4.0000000000000008E-2</v>
      </c>
      <c r="F11" s="6" t="s">
        <v>533</v>
      </c>
      <c r="G11" s="5">
        <v>1</v>
      </c>
      <c r="H11" s="10">
        <f t="shared" si="2"/>
        <v>0.05</v>
      </c>
      <c r="K11" s="6" t="s">
        <v>521</v>
      </c>
      <c r="L11" s="5">
        <v>1</v>
      </c>
      <c r="M11" s="10">
        <f t="shared" si="0"/>
        <v>1.8181818181818184E-2</v>
      </c>
      <c r="P11" s="7" t="s">
        <v>539</v>
      </c>
      <c r="Q11" s="5">
        <v>1</v>
      </c>
      <c r="R11" s="10">
        <f>Q11/$Q$14*20%</f>
        <v>4.0000000000000008E-2</v>
      </c>
    </row>
    <row r="12" spans="1:18" x14ac:dyDescent="0.25">
      <c r="A12" s="6" t="s">
        <v>503</v>
      </c>
      <c r="B12" s="5">
        <v>1</v>
      </c>
      <c r="C12" s="10">
        <f t="shared" si="1"/>
        <v>4.0000000000000008E-2</v>
      </c>
      <c r="F12" s="6" t="s">
        <v>536</v>
      </c>
      <c r="G12" s="5">
        <v>1</v>
      </c>
      <c r="H12" s="10">
        <f t="shared" si="2"/>
        <v>0.05</v>
      </c>
      <c r="K12" s="6" t="s">
        <v>522</v>
      </c>
      <c r="L12" s="5">
        <v>1</v>
      </c>
      <c r="M12" s="10">
        <f t="shared" si="0"/>
        <v>1.8181818181818184E-2</v>
      </c>
      <c r="P12" s="7" t="s">
        <v>540</v>
      </c>
      <c r="Q12" s="5">
        <v>1</v>
      </c>
      <c r="R12" s="10">
        <f>Q12/$Q$14*20%</f>
        <v>4.0000000000000008E-2</v>
      </c>
    </row>
    <row r="13" spans="1:18" x14ac:dyDescent="0.25">
      <c r="A13" s="6" t="s">
        <v>504</v>
      </c>
      <c r="B13" s="5">
        <v>1</v>
      </c>
      <c r="C13" s="10">
        <f t="shared" si="1"/>
        <v>4.0000000000000008E-2</v>
      </c>
      <c r="F13" s="6" t="s">
        <v>499</v>
      </c>
      <c r="G13" s="5">
        <f>SUM(G9:G12)</f>
        <v>4</v>
      </c>
      <c r="H13" s="11">
        <f>SUM(H9:H12)</f>
        <v>0.2</v>
      </c>
      <c r="K13" s="7" t="s">
        <v>523</v>
      </c>
      <c r="L13" s="5">
        <v>1</v>
      </c>
      <c r="M13" s="10">
        <f t="shared" si="0"/>
        <v>1.8181818181818184E-2</v>
      </c>
      <c r="P13" s="7" t="s">
        <v>532</v>
      </c>
      <c r="Q13" s="5">
        <v>1</v>
      </c>
      <c r="R13" s="10">
        <f>Q13/$Q$14*20%</f>
        <v>4.0000000000000008E-2</v>
      </c>
    </row>
    <row r="14" spans="1:18" x14ac:dyDescent="0.25">
      <c r="A14" s="6" t="s">
        <v>505</v>
      </c>
      <c r="B14" s="5">
        <v>1</v>
      </c>
      <c r="C14" s="10">
        <f t="shared" si="1"/>
        <v>4.0000000000000008E-2</v>
      </c>
      <c r="K14" s="7" t="s">
        <v>526</v>
      </c>
      <c r="L14" s="5">
        <v>1</v>
      </c>
      <c r="M14" s="10">
        <f t="shared" si="0"/>
        <v>1.8181818181818184E-2</v>
      </c>
      <c r="P14" s="6" t="s">
        <v>499</v>
      </c>
      <c r="Q14" s="5">
        <f>SUM(Q9:Q13)</f>
        <v>5</v>
      </c>
      <c r="R14" s="11">
        <f>SUM(R9:R13)</f>
        <v>0.20000000000000004</v>
      </c>
    </row>
    <row r="15" spans="1:18" x14ac:dyDescent="0.25">
      <c r="A15" s="6" t="s">
        <v>506</v>
      </c>
      <c r="B15" s="5">
        <v>1</v>
      </c>
      <c r="C15" s="10">
        <f t="shared" si="1"/>
        <v>4.0000000000000008E-2</v>
      </c>
      <c r="K15" s="7" t="s">
        <v>524</v>
      </c>
      <c r="L15" s="5">
        <v>1</v>
      </c>
      <c r="M15" s="10">
        <f t="shared" si="0"/>
        <v>1.8181818181818184E-2</v>
      </c>
    </row>
    <row r="16" spans="1:18" x14ac:dyDescent="0.25">
      <c r="A16" s="6" t="s">
        <v>507</v>
      </c>
      <c r="B16" s="5">
        <v>1</v>
      </c>
      <c r="C16" s="10">
        <f t="shared" si="1"/>
        <v>4.0000000000000008E-2</v>
      </c>
      <c r="K16" s="7" t="s">
        <v>525</v>
      </c>
      <c r="L16" s="5">
        <v>1</v>
      </c>
      <c r="M16" s="10">
        <f t="shared" si="0"/>
        <v>1.8181818181818184E-2</v>
      </c>
    </row>
    <row r="17" spans="1:18" x14ac:dyDescent="0.25">
      <c r="A17" s="6" t="s">
        <v>508</v>
      </c>
      <c r="B17" s="5">
        <v>1</v>
      </c>
      <c r="C17" s="10">
        <f t="shared" si="1"/>
        <v>4.0000000000000008E-2</v>
      </c>
      <c r="K17" s="7" t="s">
        <v>527</v>
      </c>
      <c r="L17" s="5">
        <v>1</v>
      </c>
      <c r="M17" s="10">
        <f t="shared" si="0"/>
        <v>1.8181818181818184E-2</v>
      </c>
      <c r="P17" s="8" t="s">
        <v>544</v>
      </c>
    </row>
    <row r="18" spans="1:18" x14ac:dyDescent="0.25">
      <c r="A18" s="6" t="s">
        <v>509</v>
      </c>
      <c r="B18" s="5">
        <v>1</v>
      </c>
      <c r="C18" s="10">
        <f t="shared" si="1"/>
        <v>4.0000000000000008E-2</v>
      </c>
      <c r="K18" s="7" t="s">
        <v>528</v>
      </c>
      <c r="L18" s="5">
        <v>1</v>
      </c>
      <c r="M18" s="10">
        <f t="shared" si="0"/>
        <v>1.8181818181818184E-2</v>
      </c>
      <c r="P18" s="8" t="s">
        <v>542</v>
      </c>
    </row>
    <row r="19" spans="1:18" x14ac:dyDescent="0.25">
      <c r="A19" s="6" t="s">
        <v>499</v>
      </c>
      <c r="B19" s="5">
        <f>SUM(B9:B18)</f>
        <v>10</v>
      </c>
      <c r="C19" s="11">
        <f>SUM(C9:C18)</f>
        <v>0.40000000000000013</v>
      </c>
      <c r="K19" s="7" t="s">
        <v>529</v>
      </c>
      <c r="L19" s="5">
        <v>1</v>
      </c>
      <c r="M19" s="10">
        <f t="shared" si="0"/>
        <v>1.8181818181818184E-2</v>
      </c>
      <c r="P19" s="8" t="s">
        <v>543</v>
      </c>
    </row>
    <row r="20" spans="1:18" x14ac:dyDescent="0.25">
      <c r="K20" s="6" t="s">
        <v>499</v>
      </c>
      <c r="L20" s="5">
        <f>SUM(L9:L19)</f>
        <v>11</v>
      </c>
      <c r="M20" s="11">
        <f>SUM(M9:M19)</f>
        <v>0.20000000000000004</v>
      </c>
      <c r="P20" s="8" t="s">
        <v>545</v>
      </c>
    </row>
    <row r="21" spans="1:18" x14ac:dyDescent="0.25">
      <c r="P21" s="8" t="s">
        <v>542</v>
      </c>
    </row>
    <row r="22" spans="1:18" x14ac:dyDescent="0.25">
      <c r="A22" s="8" t="s">
        <v>535</v>
      </c>
      <c r="P22" s="8" t="s">
        <v>543</v>
      </c>
    </row>
    <row r="23" spans="1:18" x14ac:dyDescent="0.25">
      <c r="A23" t="s">
        <v>501</v>
      </c>
      <c r="B23" s="9">
        <f>C40</f>
        <v>0.12000000000000002</v>
      </c>
    </row>
    <row r="24" spans="1:18" x14ac:dyDescent="0.25">
      <c r="A24" t="s">
        <v>511</v>
      </c>
      <c r="B24" s="9">
        <f>H34</f>
        <v>0.15000000000000002</v>
      </c>
    </row>
    <row r="25" spans="1:18" x14ac:dyDescent="0.25">
      <c r="A25" t="s">
        <v>510</v>
      </c>
      <c r="B25" s="9">
        <f>M41</f>
        <v>0.12727272727272729</v>
      </c>
    </row>
    <row r="26" spans="1:18" x14ac:dyDescent="0.25">
      <c r="A26" t="s">
        <v>512</v>
      </c>
      <c r="B26" s="9">
        <f>R35</f>
        <v>8.0000000000000016E-2</v>
      </c>
    </row>
    <row r="27" spans="1:18" x14ac:dyDescent="0.25">
      <c r="A27" t="s">
        <v>499</v>
      </c>
      <c r="B27" s="9">
        <f>SUM(B23:B26)</f>
        <v>0.47727272727272735</v>
      </c>
    </row>
    <row r="28" spans="1:18" x14ac:dyDescent="0.25">
      <c r="A28" t="s">
        <v>498</v>
      </c>
      <c r="F28" t="s">
        <v>513</v>
      </c>
      <c r="K28" t="s">
        <v>518</v>
      </c>
      <c r="P28" t="s">
        <v>530</v>
      </c>
    </row>
    <row r="29" spans="1:18" x14ac:dyDescent="0.25">
      <c r="A29" s="5" t="s">
        <v>500</v>
      </c>
      <c r="B29" s="5" t="s">
        <v>495</v>
      </c>
      <c r="C29" s="5" t="s">
        <v>497</v>
      </c>
      <c r="F29" s="5" t="s">
        <v>514</v>
      </c>
      <c r="G29" s="5" t="s">
        <v>495</v>
      </c>
      <c r="H29" s="5" t="s">
        <v>497</v>
      </c>
      <c r="K29" s="5" t="s">
        <v>514</v>
      </c>
      <c r="L29" s="5" t="s">
        <v>495</v>
      </c>
      <c r="M29" s="5" t="s">
        <v>497</v>
      </c>
      <c r="P29" s="5" t="s">
        <v>514</v>
      </c>
      <c r="Q29" s="5" t="s">
        <v>495</v>
      </c>
      <c r="R29" s="5" t="s">
        <v>497</v>
      </c>
    </row>
    <row r="30" spans="1:18" x14ac:dyDescent="0.25">
      <c r="A30" s="6" t="s">
        <v>493</v>
      </c>
      <c r="B30" s="5">
        <v>1</v>
      </c>
      <c r="C30" s="10">
        <f>+B30*C9</f>
        <v>4.0000000000000008E-2</v>
      </c>
      <c r="F30" s="6" t="s">
        <v>515</v>
      </c>
      <c r="G30" s="5">
        <v>1</v>
      </c>
      <c r="H30" s="10">
        <f>+G30*H9</f>
        <v>0.05</v>
      </c>
      <c r="K30" s="6" t="s">
        <v>519</v>
      </c>
      <c r="L30" s="5">
        <v>1</v>
      </c>
      <c r="M30" s="10">
        <f>+L30*M9</f>
        <v>1.8181818181818184E-2</v>
      </c>
      <c r="P30" s="6" t="s">
        <v>531</v>
      </c>
      <c r="Q30" s="5">
        <v>0</v>
      </c>
      <c r="R30" s="10">
        <f>+Q30*R9</f>
        <v>0</v>
      </c>
    </row>
    <row r="31" spans="1:18" x14ac:dyDescent="0.25">
      <c r="A31" s="6" t="s">
        <v>494</v>
      </c>
      <c r="B31" s="5">
        <v>0</v>
      </c>
      <c r="C31" s="10">
        <f t="shared" ref="C31:C39" si="3">+B31*C10</f>
        <v>0</v>
      </c>
      <c r="F31" s="6" t="s">
        <v>516</v>
      </c>
      <c r="G31" s="5">
        <v>1</v>
      </c>
      <c r="H31" s="10">
        <f t="shared" ref="H31:H33" si="4">+G31*H10</f>
        <v>0.05</v>
      </c>
      <c r="K31" s="6" t="s">
        <v>538</v>
      </c>
      <c r="L31" s="5">
        <v>1</v>
      </c>
      <c r="M31" s="10">
        <f t="shared" ref="M31:M40" si="5">+L31*M10</f>
        <v>1.8181818181818184E-2</v>
      </c>
      <c r="P31" s="6" t="s">
        <v>541</v>
      </c>
      <c r="Q31" s="5">
        <v>0</v>
      </c>
      <c r="R31" s="10">
        <f t="shared" ref="R31:R34" si="6">+Q31*R10</f>
        <v>0</v>
      </c>
    </row>
    <row r="32" spans="1:18" x14ac:dyDescent="0.25">
      <c r="A32" s="6" t="s">
        <v>502</v>
      </c>
      <c r="B32" s="5">
        <v>1</v>
      </c>
      <c r="C32" s="10">
        <f t="shared" si="3"/>
        <v>4.0000000000000008E-2</v>
      </c>
      <c r="F32" s="6" t="s">
        <v>517</v>
      </c>
      <c r="G32" s="5">
        <v>0</v>
      </c>
      <c r="H32" s="10">
        <f t="shared" si="4"/>
        <v>0</v>
      </c>
      <c r="K32" s="6" t="s">
        <v>537</v>
      </c>
      <c r="L32" s="5">
        <v>1</v>
      </c>
      <c r="M32" s="10">
        <f t="shared" si="5"/>
        <v>1.8181818181818184E-2</v>
      </c>
      <c r="P32" s="7" t="s">
        <v>539</v>
      </c>
      <c r="Q32" s="5">
        <v>0</v>
      </c>
      <c r="R32" s="10">
        <f t="shared" si="6"/>
        <v>0</v>
      </c>
    </row>
    <row r="33" spans="1:18" x14ac:dyDescent="0.25">
      <c r="A33" s="6" t="s">
        <v>503</v>
      </c>
      <c r="B33" s="5">
        <v>1</v>
      </c>
      <c r="C33" s="10">
        <f t="shared" si="3"/>
        <v>4.0000000000000008E-2</v>
      </c>
      <c r="F33" s="6" t="s">
        <v>536</v>
      </c>
      <c r="G33" s="5">
        <v>1</v>
      </c>
      <c r="H33" s="10">
        <f t="shared" si="4"/>
        <v>0.05</v>
      </c>
      <c r="K33" s="6" t="s">
        <v>522</v>
      </c>
      <c r="L33" s="5">
        <v>1</v>
      </c>
      <c r="M33" s="10">
        <f t="shared" si="5"/>
        <v>1.8181818181818184E-2</v>
      </c>
      <c r="P33" s="7" t="s">
        <v>540</v>
      </c>
      <c r="Q33" s="5">
        <v>1</v>
      </c>
      <c r="R33" s="10">
        <f t="shared" si="6"/>
        <v>4.0000000000000008E-2</v>
      </c>
    </row>
    <row r="34" spans="1:18" x14ac:dyDescent="0.25">
      <c r="A34" s="6" t="s">
        <v>504</v>
      </c>
      <c r="B34" s="5">
        <v>0</v>
      </c>
      <c r="C34" s="10">
        <f t="shared" si="3"/>
        <v>0</v>
      </c>
      <c r="F34" s="6" t="s">
        <v>499</v>
      </c>
      <c r="G34" s="5">
        <f>SUM(G30:G33)</f>
        <v>3</v>
      </c>
      <c r="H34" s="11">
        <f>SUM(H30:H33)</f>
        <v>0.15000000000000002</v>
      </c>
      <c r="K34" s="7" t="s">
        <v>523</v>
      </c>
      <c r="L34" s="5">
        <v>1</v>
      </c>
      <c r="M34" s="10">
        <f t="shared" si="5"/>
        <v>1.8181818181818184E-2</v>
      </c>
      <c r="P34" s="7" t="s">
        <v>532</v>
      </c>
      <c r="Q34" s="5">
        <v>1</v>
      </c>
      <c r="R34" s="10">
        <f t="shared" si="6"/>
        <v>4.0000000000000008E-2</v>
      </c>
    </row>
    <row r="35" spans="1:18" x14ac:dyDescent="0.25">
      <c r="A35" s="6" t="s">
        <v>505</v>
      </c>
      <c r="B35" s="5">
        <v>0</v>
      </c>
      <c r="C35" s="10">
        <f t="shared" si="3"/>
        <v>0</v>
      </c>
      <c r="K35" s="7" t="s">
        <v>526</v>
      </c>
      <c r="L35" s="5">
        <v>1</v>
      </c>
      <c r="M35" s="10">
        <f t="shared" si="5"/>
        <v>1.8181818181818184E-2</v>
      </c>
      <c r="P35" s="6" t="s">
        <v>499</v>
      </c>
      <c r="Q35" s="5">
        <f>SUM(Q30:Q34)</f>
        <v>2</v>
      </c>
      <c r="R35" s="11">
        <f>SUM(R30:R34)</f>
        <v>8.0000000000000016E-2</v>
      </c>
    </row>
    <row r="36" spans="1:18" x14ac:dyDescent="0.25">
      <c r="A36" s="6" t="s">
        <v>506</v>
      </c>
      <c r="B36" s="5">
        <v>0</v>
      </c>
      <c r="C36" s="10">
        <f t="shared" si="3"/>
        <v>0</v>
      </c>
      <c r="K36" s="7" t="s">
        <v>524</v>
      </c>
      <c r="L36" s="5">
        <v>0</v>
      </c>
      <c r="M36" s="10">
        <f t="shared" si="5"/>
        <v>0</v>
      </c>
    </row>
    <row r="37" spans="1:18" x14ac:dyDescent="0.25">
      <c r="A37" s="6" t="s">
        <v>507</v>
      </c>
      <c r="B37" s="5">
        <v>0</v>
      </c>
      <c r="C37" s="10">
        <f t="shared" si="3"/>
        <v>0</v>
      </c>
      <c r="K37" s="7" t="s">
        <v>525</v>
      </c>
      <c r="L37" s="5">
        <v>1</v>
      </c>
      <c r="M37" s="10">
        <f t="shared" si="5"/>
        <v>1.8181818181818184E-2</v>
      </c>
    </row>
    <row r="38" spans="1:18" x14ac:dyDescent="0.25">
      <c r="A38" s="6" t="s">
        <v>508</v>
      </c>
      <c r="B38" s="5">
        <v>0</v>
      </c>
      <c r="C38" s="10">
        <f t="shared" si="3"/>
        <v>0</v>
      </c>
      <c r="K38" s="7" t="s">
        <v>527</v>
      </c>
      <c r="L38" s="5">
        <v>0</v>
      </c>
      <c r="M38" s="10">
        <f t="shared" si="5"/>
        <v>0</v>
      </c>
    </row>
    <row r="39" spans="1:18" x14ac:dyDescent="0.25">
      <c r="A39" s="6" t="s">
        <v>509</v>
      </c>
      <c r="B39" s="5">
        <v>0</v>
      </c>
      <c r="C39" s="10">
        <f t="shared" si="3"/>
        <v>0</v>
      </c>
      <c r="K39" s="7" t="s">
        <v>528</v>
      </c>
      <c r="L39" s="5">
        <v>0</v>
      </c>
      <c r="M39" s="10">
        <f t="shared" si="5"/>
        <v>0</v>
      </c>
    </row>
    <row r="40" spans="1:18" x14ac:dyDescent="0.25">
      <c r="A40" s="6" t="s">
        <v>499</v>
      </c>
      <c r="B40" s="5">
        <f>SUM(B30:B39)</f>
        <v>3</v>
      </c>
      <c r="C40" s="11">
        <f>SUM(C30:C39)</f>
        <v>0.12000000000000002</v>
      </c>
      <c r="K40" s="7" t="s">
        <v>529</v>
      </c>
      <c r="L40" s="5">
        <v>0</v>
      </c>
      <c r="M40" s="10">
        <f t="shared" si="5"/>
        <v>0</v>
      </c>
    </row>
    <row r="41" spans="1:18" x14ac:dyDescent="0.25">
      <c r="K41" s="6" t="s">
        <v>499</v>
      </c>
      <c r="L41" s="5">
        <f>SUM(L30:L40)</f>
        <v>7</v>
      </c>
      <c r="M41" s="11">
        <f>SUM(M30:M40)</f>
        <v>0.12727272727272729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893F6-D5B6-4505-8120-FE3B8E0A8949}">
  <dimension ref="A1:R41"/>
  <sheetViews>
    <sheetView workbookViewId="0">
      <selection activeCell="H37" sqref="H37"/>
    </sheetView>
  </sheetViews>
  <sheetFormatPr defaultRowHeight="15" x14ac:dyDescent="0.25"/>
  <cols>
    <col min="1" max="1" width="43.85546875" bestFit="1" customWidth="1"/>
    <col min="6" max="6" width="33.85546875" customWidth="1"/>
    <col min="11" max="11" width="47.7109375" bestFit="1" customWidth="1"/>
    <col min="16" max="16" width="58.85546875" bestFit="1" customWidth="1"/>
  </cols>
  <sheetData>
    <row r="1" spans="1:18" x14ac:dyDescent="0.25">
      <c r="A1" t="s">
        <v>496</v>
      </c>
    </row>
    <row r="2" spans="1:18" x14ac:dyDescent="0.25">
      <c r="A2" t="s">
        <v>501</v>
      </c>
    </row>
    <row r="3" spans="1:18" x14ac:dyDescent="0.25">
      <c r="A3" t="s">
        <v>511</v>
      </c>
    </row>
    <row r="4" spans="1:18" x14ac:dyDescent="0.25">
      <c r="A4" t="s">
        <v>510</v>
      </c>
    </row>
    <row r="5" spans="1:18" x14ac:dyDescent="0.25">
      <c r="A5" t="s">
        <v>512</v>
      </c>
    </row>
    <row r="7" spans="1:18" x14ac:dyDescent="0.25">
      <c r="A7" t="s">
        <v>498</v>
      </c>
      <c r="F7" t="s">
        <v>513</v>
      </c>
      <c r="K7" t="s">
        <v>518</v>
      </c>
      <c r="P7" t="s">
        <v>530</v>
      </c>
    </row>
    <row r="8" spans="1:18" x14ac:dyDescent="0.25">
      <c r="A8" s="5" t="s">
        <v>500</v>
      </c>
      <c r="B8" s="5" t="s">
        <v>495</v>
      </c>
      <c r="C8" s="5" t="s">
        <v>497</v>
      </c>
      <c r="F8" s="5" t="s">
        <v>514</v>
      </c>
      <c r="G8" s="5" t="s">
        <v>495</v>
      </c>
      <c r="H8" s="5" t="s">
        <v>497</v>
      </c>
      <c r="K8" s="5" t="s">
        <v>514</v>
      </c>
      <c r="L8" s="5" t="s">
        <v>495</v>
      </c>
      <c r="M8" s="5" t="s">
        <v>497</v>
      </c>
      <c r="P8" s="5" t="s">
        <v>514</v>
      </c>
      <c r="Q8" s="5" t="s">
        <v>495</v>
      </c>
      <c r="R8" s="5" t="s">
        <v>497</v>
      </c>
    </row>
    <row r="9" spans="1:18" x14ac:dyDescent="0.25">
      <c r="A9" s="6" t="s">
        <v>493</v>
      </c>
      <c r="B9" s="5">
        <v>1</v>
      </c>
      <c r="C9" s="10">
        <f>B9/$B$19*40%</f>
        <v>4.0000000000000008E-2</v>
      </c>
      <c r="F9" s="6" t="s">
        <v>534</v>
      </c>
      <c r="G9" s="5">
        <v>1</v>
      </c>
      <c r="H9" s="10">
        <f>G9/$G$13*20%</f>
        <v>0.05</v>
      </c>
      <c r="K9" s="6" t="s">
        <v>519</v>
      </c>
      <c r="L9" s="5">
        <v>1</v>
      </c>
      <c r="M9" s="10">
        <f t="shared" ref="M9:M19" si="0">L9/$L$20*20%</f>
        <v>1.8181818181818184E-2</v>
      </c>
      <c r="P9" s="6" t="s">
        <v>531</v>
      </c>
      <c r="Q9" s="5">
        <v>1</v>
      </c>
      <c r="R9" s="10">
        <f>Q9/$Q$14*20%</f>
        <v>4.0000000000000008E-2</v>
      </c>
    </row>
    <row r="10" spans="1:18" x14ac:dyDescent="0.25">
      <c r="A10" s="6" t="s">
        <v>494</v>
      </c>
      <c r="B10" s="5">
        <v>1</v>
      </c>
      <c r="C10" s="10">
        <f t="shared" ref="C10:C18" si="1">B10/$B$19*40%</f>
        <v>4.0000000000000008E-2</v>
      </c>
      <c r="F10" s="6" t="s">
        <v>516</v>
      </c>
      <c r="G10" s="5">
        <v>1</v>
      </c>
      <c r="H10" s="10">
        <f t="shared" ref="H10:H12" si="2">G10/$G$13*20%</f>
        <v>0.05</v>
      </c>
      <c r="K10" s="6" t="s">
        <v>520</v>
      </c>
      <c r="L10" s="5">
        <v>1</v>
      </c>
      <c r="M10" s="10">
        <f t="shared" si="0"/>
        <v>1.8181818181818184E-2</v>
      </c>
      <c r="P10" s="6" t="s">
        <v>541</v>
      </c>
      <c r="Q10" s="5">
        <v>1</v>
      </c>
      <c r="R10" s="10">
        <f>Q10/$Q$14*20%</f>
        <v>4.0000000000000008E-2</v>
      </c>
    </row>
    <row r="11" spans="1:18" x14ac:dyDescent="0.25">
      <c r="A11" s="6" t="s">
        <v>502</v>
      </c>
      <c r="B11" s="5">
        <v>1</v>
      </c>
      <c r="C11" s="10">
        <f t="shared" si="1"/>
        <v>4.0000000000000008E-2</v>
      </c>
      <c r="F11" s="6" t="s">
        <v>533</v>
      </c>
      <c r="G11" s="5">
        <v>1</v>
      </c>
      <c r="H11" s="10">
        <f t="shared" si="2"/>
        <v>0.05</v>
      </c>
      <c r="K11" s="6" t="s">
        <v>521</v>
      </c>
      <c r="L11" s="5">
        <v>1</v>
      </c>
      <c r="M11" s="10">
        <f t="shared" si="0"/>
        <v>1.8181818181818184E-2</v>
      </c>
      <c r="P11" s="7" t="s">
        <v>539</v>
      </c>
      <c r="Q11" s="5">
        <v>1</v>
      </c>
      <c r="R11" s="10">
        <f>Q11/$Q$14*20%</f>
        <v>4.0000000000000008E-2</v>
      </c>
    </row>
    <row r="12" spans="1:18" x14ac:dyDescent="0.25">
      <c r="A12" s="6" t="s">
        <v>503</v>
      </c>
      <c r="B12" s="5">
        <v>1</v>
      </c>
      <c r="C12" s="10">
        <f t="shared" si="1"/>
        <v>4.0000000000000008E-2</v>
      </c>
      <c r="F12" s="6" t="s">
        <v>536</v>
      </c>
      <c r="G12" s="5">
        <v>1</v>
      </c>
      <c r="H12" s="10">
        <f t="shared" si="2"/>
        <v>0.05</v>
      </c>
      <c r="K12" s="6" t="s">
        <v>522</v>
      </c>
      <c r="L12" s="5">
        <v>1</v>
      </c>
      <c r="M12" s="10">
        <f t="shared" si="0"/>
        <v>1.8181818181818184E-2</v>
      </c>
      <c r="P12" s="7" t="s">
        <v>540</v>
      </c>
      <c r="Q12" s="5">
        <v>1</v>
      </c>
      <c r="R12" s="10">
        <f>Q12/$Q$14*20%</f>
        <v>4.0000000000000008E-2</v>
      </c>
    </row>
    <row r="13" spans="1:18" x14ac:dyDescent="0.25">
      <c r="A13" s="6" t="s">
        <v>504</v>
      </c>
      <c r="B13" s="5">
        <v>1</v>
      </c>
      <c r="C13" s="10">
        <f t="shared" si="1"/>
        <v>4.0000000000000008E-2</v>
      </c>
      <c r="F13" s="6" t="s">
        <v>499</v>
      </c>
      <c r="G13" s="5">
        <f>SUM(G9:G12)</f>
        <v>4</v>
      </c>
      <c r="H13" s="11">
        <f>SUM(H9:H12)</f>
        <v>0.2</v>
      </c>
      <c r="K13" s="7" t="s">
        <v>523</v>
      </c>
      <c r="L13" s="5">
        <v>1</v>
      </c>
      <c r="M13" s="10">
        <f t="shared" si="0"/>
        <v>1.8181818181818184E-2</v>
      </c>
      <c r="P13" s="7" t="s">
        <v>532</v>
      </c>
      <c r="Q13" s="5">
        <v>1</v>
      </c>
      <c r="R13" s="10">
        <f>Q13/$Q$14*20%</f>
        <v>4.0000000000000008E-2</v>
      </c>
    </row>
    <row r="14" spans="1:18" x14ac:dyDescent="0.25">
      <c r="A14" s="6" t="s">
        <v>505</v>
      </c>
      <c r="B14" s="5">
        <v>1</v>
      </c>
      <c r="C14" s="10">
        <f t="shared" si="1"/>
        <v>4.0000000000000008E-2</v>
      </c>
      <c r="K14" s="7" t="s">
        <v>526</v>
      </c>
      <c r="L14" s="5">
        <v>1</v>
      </c>
      <c r="M14" s="10">
        <f t="shared" si="0"/>
        <v>1.8181818181818184E-2</v>
      </c>
      <c r="P14" s="6" t="s">
        <v>499</v>
      </c>
      <c r="Q14" s="5">
        <f>SUM(Q9:Q13)</f>
        <v>5</v>
      </c>
      <c r="R14" s="11">
        <f>SUM(R9:R13)</f>
        <v>0.20000000000000004</v>
      </c>
    </row>
    <row r="15" spans="1:18" x14ac:dyDescent="0.25">
      <c r="A15" s="6" t="s">
        <v>506</v>
      </c>
      <c r="B15" s="5">
        <v>1</v>
      </c>
      <c r="C15" s="10">
        <f t="shared" si="1"/>
        <v>4.0000000000000008E-2</v>
      </c>
      <c r="K15" s="7" t="s">
        <v>524</v>
      </c>
      <c r="L15" s="5">
        <v>1</v>
      </c>
      <c r="M15" s="10">
        <f t="shared" si="0"/>
        <v>1.8181818181818184E-2</v>
      </c>
    </row>
    <row r="16" spans="1:18" x14ac:dyDescent="0.25">
      <c r="A16" s="6" t="s">
        <v>507</v>
      </c>
      <c r="B16" s="5">
        <v>1</v>
      </c>
      <c r="C16" s="10">
        <f t="shared" si="1"/>
        <v>4.0000000000000008E-2</v>
      </c>
      <c r="K16" s="7" t="s">
        <v>525</v>
      </c>
      <c r="L16" s="5">
        <v>1</v>
      </c>
      <c r="M16" s="10">
        <f t="shared" si="0"/>
        <v>1.8181818181818184E-2</v>
      </c>
    </row>
    <row r="17" spans="1:18" x14ac:dyDescent="0.25">
      <c r="A17" s="6" t="s">
        <v>508</v>
      </c>
      <c r="B17" s="5">
        <v>1</v>
      </c>
      <c r="C17" s="10">
        <f t="shared" si="1"/>
        <v>4.0000000000000008E-2</v>
      </c>
      <c r="K17" s="7" t="s">
        <v>527</v>
      </c>
      <c r="L17" s="5">
        <v>1</v>
      </c>
      <c r="M17" s="10">
        <f t="shared" si="0"/>
        <v>1.8181818181818184E-2</v>
      </c>
      <c r="P17" s="8" t="s">
        <v>544</v>
      </c>
    </row>
    <row r="18" spans="1:18" x14ac:dyDescent="0.25">
      <c r="A18" s="6" t="s">
        <v>509</v>
      </c>
      <c r="B18" s="5">
        <v>1</v>
      </c>
      <c r="C18" s="10">
        <f t="shared" si="1"/>
        <v>4.0000000000000008E-2</v>
      </c>
      <c r="K18" s="7" t="s">
        <v>528</v>
      </c>
      <c r="L18" s="5">
        <v>1</v>
      </c>
      <c r="M18" s="10">
        <f t="shared" si="0"/>
        <v>1.8181818181818184E-2</v>
      </c>
      <c r="P18" s="8" t="s">
        <v>542</v>
      </c>
    </row>
    <row r="19" spans="1:18" x14ac:dyDescent="0.25">
      <c r="A19" s="6" t="s">
        <v>499</v>
      </c>
      <c r="B19" s="5">
        <f>SUM(B9:B18)</f>
        <v>10</v>
      </c>
      <c r="C19" s="11">
        <f>SUM(C9:C18)</f>
        <v>0.40000000000000013</v>
      </c>
      <c r="K19" s="7" t="s">
        <v>529</v>
      </c>
      <c r="L19" s="5">
        <v>1</v>
      </c>
      <c r="M19" s="10">
        <f t="shared" si="0"/>
        <v>1.8181818181818184E-2</v>
      </c>
      <c r="P19" s="8" t="s">
        <v>543</v>
      </c>
    </row>
    <row r="20" spans="1:18" x14ac:dyDescent="0.25">
      <c r="K20" s="6" t="s">
        <v>499</v>
      </c>
      <c r="L20" s="5">
        <f>SUM(L9:L19)</f>
        <v>11</v>
      </c>
      <c r="M20" s="11">
        <f>SUM(M9:M19)</f>
        <v>0.20000000000000004</v>
      </c>
      <c r="P20" s="8" t="s">
        <v>545</v>
      </c>
    </row>
    <row r="21" spans="1:18" x14ac:dyDescent="0.25">
      <c r="P21" s="8" t="s">
        <v>542</v>
      </c>
    </row>
    <row r="22" spans="1:18" x14ac:dyDescent="0.25">
      <c r="A22" s="8" t="s">
        <v>535</v>
      </c>
      <c r="P22" s="8" t="s">
        <v>543</v>
      </c>
    </row>
    <row r="23" spans="1:18" x14ac:dyDescent="0.25">
      <c r="A23" t="s">
        <v>501</v>
      </c>
      <c r="B23" s="9">
        <f>C40</f>
        <v>0.12000000000000002</v>
      </c>
    </row>
    <row r="24" spans="1:18" x14ac:dyDescent="0.25">
      <c r="A24" t="s">
        <v>511</v>
      </c>
      <c r="B24" s="9">
        <f>H34</f>
        <v>0.15000000000000002</v>
      </c>
    </row>
    <row r="25" spans="1:18" x14ac:dyDescent="0.25">
      <c r="A25" t="s">
        <v>510</v>
      </c>
      <c r="B25" s="9">
        <f>M41</f>
        <v>0.12727272727272729</v>
      </c>
    </row>
    <row r="26" spans="1:18" x14ac:dyDescent="0.25">
      <c r="A26" t="s">
        <v>512</v>
      </c>
      <c r="B26" s="9">
        <f>R35</f>
        <v>8.0000000000000016E-2</v>
      </c>
    </row>
    <row r="27" spans="1:18" x14ac:dyDescent="0.25">
      <c r="A27" t="s">
        <v>499</v>
      </c>
      <c r="B27" s="9">
        <f>SUM(B23:B26)</f>
        <v>0.47727272727272735</v>
      </c>
    </row>
    <row r="28" spans="1:18" x14ac:dyDescent="0.25">
      <c r="A28" t="s">
        <v>498</v>
      </c>
      <c r="F28" t="s">
        <v>513</v>
      </c>
      <c r="K28" t="s">
        <v>518</v>
      </c>
      <c r="P28" t="s">
        <v>530</v>
      </c>
    </row>
    <row r="29" spans="1:18" x14ac:dyDescent="0.25">
      <c r="A29" s="5" t="s">
        <v>500</v>
      </c>
      <c r="B29" s="5" t="s">
        <v>495</v>
      </c>
      <c r="C29" s="5" t="s">
        <v>497</v>
      </c>
      <c r="F29" s="5" t="s">
        <v>514</v>
      </c>
      <c r="G29" s="5" t="s">
        <v>495</v>
      </c>
      <c r="H29" s="5" t="s">
        <v>497</v>
      </c>
      <c r="K29" s="5" t="s">
        <v>514</v>
      </c>
      <c r="L29" s="5" t="s">
        <v>495</v>
      </c>
      <c r="M29" s="5" t="s">
        <v>497</v>
      </c>
      <c r="P29" s="5" t="s">
        <v>514</v>
      </c>
      <c r="Q29" s="5" t="s">
        <v>495</v>
      </c>
      <c r="R29" s="5" t="s">
        <v>497</v>
      </c>
    </row>
    <row r="30" spans="1:18" x14ac:dyDescent="0.25">
      <c r="A30" s="6" t="s">
        <v>493</v>
      </c>
      <c r="B30" s="5">
        <v>1</v>
      </c>
      <c r="C30" s="10">
        <f>+B30*C9</f>
        <v>4.0000000000000008E-2</v>
      </c>
      <c r="F30" s="6" t="s">
        <v>515</v>
      </c>
      <c r="G30" s="5">
        <v>1</v>
      </c>
      <c r="H30" s="10">
        <f>+G30*H9</f>
        <v>0.05</v>
      </c>
      <c r="K30" s="6" t="s">
        <v>519</v>
      </c>
      <c r="L30" s="5">
        <v>1</v>
      </c>
      <c r="M30" s="10">
        <f>+L30*M9</f>
        <v>1.8181818181818184E-2</v>
      </c>
      <c r="P30" s="6" t="s">
        <v>531</v>
      </c>
      <c r="Q30" s="5">
        <v>0</v>
      </c>
      <c r="R30" s="10">
        <f>+Q30*R9</f>
        <v>0</v>
      </c>
    </row>
    <row r="31" spans="1:18" x14ac:dyDescent="0.25">
      <c r="A31" s="6" t="s">
        <v>494</v>
      </c>
      <c r="B31" s="5">
        <v>0</v>
      </c>
      <c r="C31" s="10">
        <f t="shared" ref="C31:C39" si="3">+B31*C10</f>
        <v>0</v>
      </c>
      <c r="F31" s="6" t="s">
        <v>516</v>
      </c>
      <c r="G31" s="5">
        <v>1</v>
      </c>
      <c r="H31" s="10">
        <f t="shared" ref="H31:H33" si="4">+G31*H10</f>
        <v>0.05</v>
      </c>
      <c r="K31" s="6" t="s">
        <v>538</v>
      </c>
      <c r="L31" s="5">
        <v>1</v>
      </c>
      <c r="M31" s="10">
        <f t="shared" ref="M31:M40" si="5">+L31*M10</f>
        <v>1.8181818181818184E-2</v>
      </c>
      <c r="P31" s="6" t="s">
        <v>541</v>
      </c>
      <c r="Q31" s="5">
        <v>0</v>
      </c>
      <c r="R31" s="10">
        <f t="shared" ref="R31:R34" si="6">+Q31*R10</f>
        <v>0</v>
      </c>
    </row>
    <row r="32" spans="1:18" x14ac:dyDescent="0.25">
      <c r="A32" s="6" t="s">
        <v>502</v>
      </c>
      <c r="B32" s="5">
        <v>1</v>
      </c>
      <c r="C32" s="10">
        <f t="shared" si="3"/>
        <v>4.0000000000000008E-2</v>
      </c>
      <c r="F32" s="6" t="s">
        <v>517</v>
      </c>
      <c r="G32" s="5">
        <v>0</v>
      </c>
      <c r="H32" s="10">
        <f t="shared" si="4"/>
        <v>0</v>
      </c>
      <c r="K32" s="6" t="s">
        <v>537</v>
      </c>
      <c r="L32" s="5">
        <v>1</v>
      </c>
      <c r="M32" s="10">
        <f t="shared" si="5"/>
        <v>1.8181818181818184E-2</v>
      </c>
      <c r="P32" s="7" t="s">
        <v>539</v>
      </c>
      <c r="Q32" s="5">
        <v>0</v>
      </c>
      <c r="R32" s="10">
        <f t="shared" si="6"/>
        <v>0</v>
      </c>
    </row>
    <row r="33" spans="1:18" x14ac:dyDescent="0.25">
      <c r="A33" s="6" t="s">
        <v>503</v>
      </c>
      <c r="B33" s="5">
        <v>1</v>
      </c>
      <c r="C33" s="10">
        <f t="shared" si="3"/>
        <v>4.0000000000000008E-2</v>
      </c>
      <c r="F33" s="6" t="s">
        <v>536</v>
      </c>
      <c r="G33" s="5">
        <v>1</v>
      </c>
      <c r="H33" s="10">
        <f t="shared" si="4"/>
        <v>0.05</v>
      </c>
      <c r="K33" s="6" t="s">
        <v>522</v>
      </c>
      <c r="L33" s="5">
        <v>1</v>
      </c>
      <c r="M33" s="10">
        <f t="shared" si="5"/>
        <v>1.8181818181818184E-2</v>
      </c>
      <c r="P33" s="7" t="s">
        <v>540</v>
      </c>
      <c r="Q33" s="5">
        <v>1</v>
      </c>
      <c r="R33" s="10">
        <f t="shared" si="6"/>
        <v>4.0000000000000008E-2</v>
      </c>
    </row>
    <row r="34" spans="1:18" x14ac:dyDescent="0.25">
      <c r="A34" s="6" t="s">
        <v>504</v>
      </c>
      <c r="B34" s="5">
        <v>0</v>
      </c>
      <c r="C34" s="10">
        <f t="shared" si="3"/>
        <v>0</v>
      </c>
      <c r="F34" s="6" t="s">
        <v>499</v>
      </c>
      <c r="G34" s="5">
        <f>SUM(G30:G33)</f>
        <v>3</v>
      </c>
      <c r="H34" s="11">
        <f>SUM(H30:H33)</f>
        <v>0.15000000000000002</v>
      </c>
      <c r="K34" s="7" t="s">
        <v>523</v>
      </c>
      <c r="L34" s="5">
        <v>1</v>
      </c>
      <c r="M34" s="10">
        <f t="shared" si="5"/>
        <v>1.8181818181818184E-2</v>
      </c>
      <c r="P34" s="7" t="s">
        <v>532</v>
      </c>
      <c r="Q34" s="5">
        <v>1</v>
      </c>
      <c r="R34" s="10">
        <f t="shared" si="6"/>
        <v>4.0000000000000008E-2</v>
      </c>
    </row>
    <row r="35" spans="1:18" x14ac:dyDescent="0.25">
      <c r="A35" s="6" t="s">
        <v>505</v>
      </c>
      <c r="B35" s="5">
        <v>0</v>
      </c>
      <c r="C35" s="10">
        <f t="shared" si="3"/>
        <v>0</v>
      </c>
      <c r="K35" s="7" t="s">
        <v>526</v>
      </c>
      <c r="L35" s="5">
        <v>1</v>
      </c>
      <c r="M35" s="10">
        <f t="shared" si="5"/>
        <v>1.8181818181818184E-2</v>
      </c>
      <c r="P35" s="6" t="s">
        <v>499</v>
      </c>
      <c r="Q35" s="5">
        <f>SUM(Q30:Q34)</f>
        <v>2</v>
      </c>
      <c r="R35" s="11">
        <f>SUM(R30:R34)</f>
        <v>8.0000000000000016E-2</v>
      </c>
    </row>
    <row r="36" spans="1:18" x14ac:dyDescent="0.25">
      <c r="A36" s="6" t="s">
        <v>506</v>
      </c>
      <c r="B36" s="5">
        <v>0</v>
      </c>
      <c r="C36" s="10">
        <f t="shared" si="3"/>
        <v>0</v>
      </c>
      <c r="K36" s="7" t="s">
        <v>524</v>
      </c>
      <c r="L36" s="5">
        <v>0</v>
      </c>
      <c r="M36" s="10">
        <f t="shared" si="5"/>
        <v>0</v>
      </c>
    </row>
    <row r="37" spans="1:18" x14ac:dyDescent="0.25">
      <c r="A37" s="6" t="s">
        <v>507</v>
      </c>
      <c r="B37" s="5">
        <v>0</v>
      </c>
      <c r="C37" s="10">
        <f t="shared" si="3"/>
        <v>0</v>
      </c>
      <c r="K37" s="7" t="s">
        <v>525</v>
      </c>
      <c r="L37" s="5">
        <v>1</v>
      </c>
      <c r="M37" s="10">
        <f t="shared" si="5"/>
        <v>1.8181818181818184E-2</v>
      </c>
    </row>
    <row r="38" spans="1:18" x14ac:dyDescent="0.25">
      <c r="A38" s="6" t="s">
        <v>508</v>
      </c>
      <c r="B38" s="5">
        <v>0</v>
      </c>
      <c r="C38" s="10">
        <f t="shared" si="3"/>
        <v>0</v>
      </c>
      <c r="K38" s="7" t="s">
        <v>527</v>
      </c>
      <c r="L38" s="5">
        <v>0</v>
      </c>
      <c r="M38" s="10">
        <f t="shared" si="5"/>
        <v>0</v>
      </c>
    </row>
    <row r="39" spans="1:18" x14ac:dyDescent="0.25">
      <c r="A39" s="6" t="s">
        <v>509</v>
      </c>
      <c r="B39" s="5">
        <v>0</v>
      </c>
      <c r="C39" s="10">
        <f t="shared" si="3"/>
        <v>0</v>
      </c>
      <c r="K39" s="7" t="s">
        <v>528</v>
      </c>
      <c r="L39" s="5">
        <v>0</v>
      </c>
      <c r="M39" s="10">
        <f t="shared" si="5"/>
        <v>0</v>
      </c>
    </row>
    <row r="40" spans="1:18" x14ac:dyDescent="0.25">
      <c r="A40" s="6" t="s">
        <v>499</v>
      </c>
      <c r="B40" s="5">
        <f>SUM(B30:B39)</f>
        <v>3</v>
      </c>
      <c r="C40" s="11">
        <f>SUM(C30:C39)</f>
        <v>0.12000000000000002</v>
      </c>
      <c r="K40" s="7" t="s">
        <v>529</v>
      </c>
      <c r="L40" s="5">
        <v>0</v>
      </c>
      <c r="M40" s="10">
        <f t="shared" si="5"/>
        <v>0</v>
      </c>
    </row>
    <row r="41" spans="1:18" x14ac:dyDescent="0.25">
      <c r="K41" s="6" t="s">
        <v>499</v>
      </c>
      <c r="L41" s="5">
        <f>SUM(L30:L40)</f>
        <v>7</v>
      </c>
      <c r="M41" s="11">
        <f>SUM(M30:M40)</f>
        <v>0.12727272727272729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DC3166-BEF7-472A-A155-DC564F6A8FE7}">
  <dimension ref="A1:R41"/>
  <sheetViews>
    <sheetView workbookViewId="0">
      <selection activeCell="H27" sqref="H27"/>
    </sheetView>
  </sheetViews>
  <sheetFormatPr defaultRowHeight="15" x14ac:dyDescent="0.25"/>
  <cols>
    <col min="1" max="1" width="43.85546875" bestFit="1" customWidth="1"/>
    <col min="6" max="6" width="33.85546875" customWidth="1"/>
    <col min="11" max="11" width="47.7109375" bestFit="1" customWidth="1"/>
    <col min="16" max="16" width="58.85546875" bestFit="1" customWidth="1"/>
  </cols>
  <sheetData>
    <row r="1" spans="1:18" x14ac:dyDescent="0.25">
      <c r="A1" t="s">
        <v>496</v>
      </c>
    </row>
    <row r="2" spans="1:18" x14ac:dyDescent="0.25">
      <c r="A2" t="s">
        <v>501</v>
      </c>
    </row>
    <row r="3" spans="1:18" x14ac:dyDescent="0.25">
      <c r="A3" t="s">
        <v>511</v>
      </c>
    </row>
    <row r="4" spans="1:18" x14ac:dyDescent="0.25">
      <c r="A4" t="s">
        <v>510</v>
      </c>
    </row>
    <row r="5" spans="1:18" x14ac:dyDescent="0.25">
      <c r="A5" t="s">
        <v>512</v>
      </c>
    </row>
    <row r="7" spans="1:18" x14ac:dyDescent="0.25">
      <c r="A7" t="s">
        <v>498</v>
      </c>
      <c r="F7" t="s">
        <v>513</v>
      </c>
      <c r="K7" t="s">
        <v>518</v>
      </c>
      <c r="P7" t="s">
        <v>530</v>
      </c>
    </row>
    <row r="8" spans="1:18" x14ac:dyDescent="0.25">
      <c r="A8" s="5" t="s">
        <v>500</v>
      </c>
      <c r="B8" s="5" t="s">
        <v>495</v>
      </c>
      <c r="C8" s="5" t="s">
        <v>497</v>
      </c>
      <c r="F8" s="5" t="s">
        <v>514</v>
      </c>
      <c r="G8" s="5" t="s">
        <v>495</v>
      </c>
      <c r="H8" s="5" t="s">
        <v>497</v>
      </c>
      <c r="K8" s="5" t="s">
        <v>514</v>
      </c>
      <c r="L8" s="5" t="s">
        <v>495</v>
      </c>
      <c r="M8" s="5" t="s">
        <v>497</v>
      </c>
      <c r="P8" s="5" t="s">
        <v>514</v>
      </c>
      <c r="Q8" s="5" t="s">
        <v>495</v>
      </c>
      <c r="R8" s="5" t="s">
        <v>497</v>
      </c>
    </row>
    <row r="9" spans="1:18" x14ac:dyDescent="0.25">
      <c r="A9" s="6" t="s">
        <v>493</v>
      </c>
      <c r="B9" s="5">
        <v>1</v>
      </c>
      <c r="C9" s="10">
        <f>B9/$B$19*40%</f>
        <v>4.0000000000000008E-2</v>
      </c>
      <c r="F9" s="6" t="s">
        <v>534</v>
      </c>
      <c r="G9" s="5">
        <v>1</v>
      </c>
      <c r="H9" s="10">
        <f>G9/$G$13*20%</f>
        <v>0.05</v>
      </c>
      <c r="K9" s="6" t="s">
        <v>519</v>
      </c>
      <c r="L9" s="5">
        <v>1</v>
      </c>
      <c r="M9" s="10">
        <f t="shared" ref="M9:M19" si="0">L9/$L$20*20%</f>
        <v>1.8181818181818184E-2</v>
      </c>
      <c r="P9" s="6" t="s">
        <v>531</v>
      </c>
      <c r="Q9" s="5">
        <v>1</v>
      </c>
      <c r="R9" s="10">
        <f>Q9/$Q$14*20%</f>
        <v>4.0000000000000008E-2</v>
      </c>
    </row>
    <row r="10" spans="1:18" x14ac:dyDescent="0.25">
      <c r="A10" s="6" t="s">
        <v>494</v>
      </c>
      <c r="B10" s="5">
        <v>1</v>
      </c>
      <c r="C10" s="10">
        <f t="shared" ref="C10:C18" si="1">B10/$B$19*40%</f>
        <v>4.0000000000000008E-2</v>
      </c>
      <c r="F10" s="6" t="s">
        <v>516</v>
      </c>
      <c r="G10" s="5">
        <v>1</v>
      </c>
      <c r="H10" s="10">
        <f t="shared" ref="H10:H12" si="2">G10/$G$13*20%</f>
        <v>0.05</v>
      </c>
      <c r="K10" s="6" t="s">
        <v>520</v>
      </c>
      <c r="L10" s="5">
        <v>1</v>
      </c>
      <c r="M10" s="10">
        <f t="shared" si="0"/>
        <v>1.8181818181818184E-2</v>
      </c>
      <c r="P10" s="6" t="s">
        <v>541</v>
      </c>
      <c r="Q10" s="5">
        <v>1</v>
      </c>
      <c r="R10" s="10">
        <f>Q10/$Q$14*20%</f>
        <v>4.0000000000000008E-2</v>
      </c>
    </row>
    <row r="11" spans="1:18" x14ac:dyDescent="0.25">
      <c r="A11" s="6" t="s">
        <v>502</v>
      </c>
      <c r="B11" s="5">
        <v>1</v>
      </c>
      <c r="C11" s="10">
        <f t="shared" si="1"/>
        <v>4.0000000000000008E-2</v>
      </c>
      <c r="F11" s="6" t="s">
        <v>533</v>
      </c>
      <c r="G11" s="5">
        <v>1</v>
      </c>
      <c r="H11" s="10">
        <f t="shared" si="2"/>
        <v>0.05</v>
      </c>
      <c r="K11" s="6" t="s">
        <v>521</v>
      </c>
      <c r="L11" s="5">
        <v>1</v>
      </c>
      <c r="M11" s="10">
        <f t="shared" si="0"/>
        <v>1.8181818181818184E-2</v>
      </c>
      <c r="P11" s="7" t="s">
        <v>539</v>
      </c>
      <c r="Q11" s="5">
        <v>1</v>
      </c>
      <c r="R11" s="10">
        <f>Q11/$Q$14*20%</f>
        <v>4.0000000000000008E-2</v>
      </c>
    </row>
    <row r="12" spans="1:18" x14ac:dyDescent="0.25">
      <c r="A12" s="6" t="s">
        <v>503</v>
      </c>
      <c r="B12" s="5">
        <v>1</v>
      </c>
      <c r="C12" s="10">
        <f t="shared" si="1"/>
        <v>4.0000000000000008E-2</v>
      </c>
      <c r="F12" s="6" t="s">
        <v>536</v>
      </c>
      <c r="G12" s="5">
        <v>1</v>
      </c>
      <c r="H12" s="10">
        <f t="shared" si="2"/>
        <v>0.05</v>
      </c>
      <c r="K12" s="6" t="s">
        <v>522</v>
      </c>
      <c r="L12" s="5">
        <v>1</v>
      </c>
      <c r="M12" s="10">
        <f t="shared" si="0"/>
        <v>1.8181818181818184E-2</v>
      </c>
      <c r="P12" s="7" t="s">
        <v>540</v>
      </c>
      <c r="Q12" s="5">
        <v>1</v>
      </c>
      <c r="R12" s="10">
        <f>Q12/$Q$14*20%</f>
        <v>4.0000000000000008E-2</v>
      </c>
    </row>
    <row r="13" spans="1:18" x14ac:dyDescent="0.25">
      <c r="A13" s="6" t="s">
        <v>504</v>
      </c>
      <c r="B13" s="5">
        <v>1</v>
      </c>
      <c r="C13" s="10">
        <f t="shared" si="1"/>
        <v>4.0000000000000008E-2</v>
      </c>
      <c r="F13" s="6" t="s">
        <v>499</v>
      </c>
      <c r="G13" s="5">
        <f>SUM(G9:G12)</f>
        <v>4</v>
      </c>
      <c r="H13" s="11">
        <f>SUM(H9:H12)</f>
        <v>0.2</v>
      </c>
      <c r="K13" s="7" t="s">
        <v>523</v>
      </c>
      <c r="L13" s="5">
        <v>1</v>
      </c>
      <c r="M13" s="10">
        <f t="shared" si="0"/>
        <v>1.8181818181818184E-2</v>
      </c>
      <c r="P13" s="7" t="s">
        <v>532</v>
      </c>
      <c r="Q13" s="5">
        <v>1</v>
      </c>
      <c r="R13" s="10">
        <f>Q13/$Q$14*20%</f>
        <v>4.0000000000000008E-2</v>
      </c>
    </row>
    <row r="14" spans="1:18" x14ac:dyDescent="0.25">
      <c r="A14" s="6" t="s">
        <v>505</v>
      </c>
      <c r="B14" s="5">
        <v>1</v>
      </c>
      <c r="C14" s="10">
        <f t="shared" si="1"/>
        <v>4.0000000000000008E-2</v>
      </c>
      <c r="K14" s="7" t="s">
        <v>526</v>
      </c>
      <c r="L14" s="5">
        <v>1</v>
      </c>
      <c r="M14" s="10">
        <f t="shared" si="0"/>
        <v>1.8181818181818184E-2</v>
      </c>
      <c r="P14" s="6" t="s">
        <v>499</v>
      </c>
      <c r="Q14" s="5">
        <f>SUM(Q9:Q13)</f>
        <v>5</v>
      </c>
      <c r="R14" s="11">
        <f>SUM(R9:R13)</f>
        <v>0.20000000000000004</v>
      </c>
    </row>
    <row r="15" spans="1:18" x14ac:dyDescent="0.25">
      <c r="A15" s="6" t="s">
        <v>506</v>
      </c>
      <c r="B15" s="5">
        <v>1</v>
      </c>
      <c r="C15" s="10">
        <f t="shared" si="1"/>
        <v>4.0000000000000008E-2</v>
      </c>
      <c r="K15" s="7" t="s">
        <v>524</v>
      </c>
      <c r="L15" s="5">
        <v>1</v>
      </c>
      <c r="M15" s="10">
        <f t="shared" si="0"/>
        <v>1.8181818181818184E-2</v>
      </c>
    </row>
    <row r="16" spans="1:18" x14ac:dyDescent="0.25">
      <c r="A16" s="6" t="s">
        <v>507</v>
      </c>
      <c r="B16" s="5">
        <v>1</v>
      </c>
      <c r="C16" s="10">
        <f t="shared" si="1"/>
        <v>4.0000000000000008E-2</v>
      </c>
      <c r="K16" s="7" t="s">
        <v>525</v>
      </c>
      <c r="L16" s="5">
        <v>1</v>
      </c>
      <c r="M16" s="10">
        <f t="shared" si="0"/>
        <v>1.8181818181818184E-2</v>
      </c>
    </row>
    <row r="17" spans="1:18" x14ac:dyDescent="0.25">
      <c r="A17" s="6" t="s">
        <v>508</v>
      </c>
      <c r="B17" s="5">
        <v>1</v>
      </c>
      <c r="C17" s="10">
        <f t="shared" si="1"/>
        <v>4.0000000000000008E-2</v>
      </c>
      <c r="K17" s="7" t="s">
        <v>527</v>
      </c>
      <c r="L17" s="5">
        <v>1</v>
      </c>
      <c r="M17" s="10">
        <f t="shared" si="0"/>
        <v>1.8181818181818184E-2</v>
      </c>
      <c r="P17" s="8" t="s">
        <v>544</v>
      </c>
    </row>
    <row r="18" spans="1:18" x14ac:dyDescent="0.25">
      <c r="A18" s="6" t="s">
        <v>509</v>
      </c>
      <c r="B18" s="5">
        <v>1</v>
      </c>
      <c r="C18" s="10">
        <f t="shared" si="1"/>
        <v>4.0000000000000008E-2</v>
      </c>
      <c r="K18" s="7" t="s">
        <v>528</v>
      </c>
      <c r="L18" s="5">
        <v>1</v>
      </c>
      <c r="M18" s="10">
        <f t="shared" si="0"/>
        <v>1.8181818181818184E-2</v>
      </c>
      <c r="P18" s="8" t="s">
        <v>542</v>
      </c>
    </row>
    <row r="19" spans="1:18" x14ac:dyDescent="0.25">
      <c r="A19" s="6" t="s">
        <v>499</v>
      </c>
      <c r="B19" s="5">
        <f>SUM(B9:B18)</f>
        <v>10</v>
      </c>
      <c r="C19" s="11">
        <f>SUM(C9:C18)</f>
        <v>0.40000000000000013</v>
      </c>
      <c r="K19" s="7" t="s">
        <v>529</v>
      </c>
      <c r="L19" s="5">
        <v>1</v>
      </c>
      <c r="M19" s="10">
        <f t="shared" si="0"/>
        <v>1.8181818181818184E-2</v>
      </c>
      <c r="P19" s="8" t="s">
        <v>543</v>
      </c>
    </row>
    <row r="20" spans="1:18" x14ac:dyDescent="0.25">
      <c r="K20" s="6" t="s">
        <v>499</v>
      </c>
      <c r="L20" s="5">
        <f>SUM(L9:L19)</f>
        <v>11</v>
      </c>
      <c r="M20" s="11">
        <f>SUM(M9:M19)</f>
        <v>0.20000000000000004</v>
      </c>
      <c r="P20" s="8" t="s">
        <v>545</v>
      </c>
    </row>
    <row r="21" spans="1:18" x14ac:dyDescent="0.25">
      <c r="P21" s="8" t="s">
        <v>542</v>
      </c>
    </row>
    <row r="22" spans="1:18" x14ac:dyDescent="0.25">
      <c r="A22" s="8" t="s">
        <v>535</v>
      </c>
      <c r="P22" s="8" t="s">
        <v>543</v>
      </c>
    </row>
    <row r="23" spans="1:18" x14ac:dyDescent="0.25">
      <c r="A23" t="s">
        <v>501</v>
      </c>
      <c r="B23" s="9">
        <f>C40</f>
        <v>0.12000000000000002</v>
      </c>
    </row>
    <row r="24" spans="1:18" x14ac:dyDescent="0.25">
      <c r="A24" t="s">
        <v>511</v>
      </c>
      <c r="B24" s="9">
        <f>H34</f>
        <v>0.15000000000000002</v>
      </c>
    </row>
    <row r="25" spans="1:18" x14ac:dyDescent="0.25">
      <c r="A25" t="s">
        <v>510</v>
      </c>
      <c r="B25" s="9">
        <f>M41</f>
        <v>0.12727272727272729</v>
      </c>
    </row>
    <row r="26" spans="1:18" x14ac:dyDescent="0.25">
      <c r="A26" t="s">
        <v>512</v>
      </c>
      <c r="B26" s="9">
        <f>R35</f>
        <v>8.0000000000000016E-2</v>
      </c>
    </row>
    <row r="27" spans="1:18" x14ac:dyDescent="0.25">
      <c r="A27" t="s">
        <v>499</v>
      </c>
      <c r="B27" s="9">
        <f>SUM(B23:B26)</f>
        <v>0.47727272727272735</v>
      </c>
    </row>
    <row r="28" spans="1:18" x14ac:dyDescent="0.25">
      <c r="A28" t="s">
        <v>498</v>
      </c>
      <c r="F28" t="s">
        <v>513</v>
      </c>
      <c r="K28" t="s">
        <v>518</v>
      </c>
      <c r="P28" t="s">
        <v>530</v>
      </c>
    </row>
    <row r="29" spans="1:18" x14ac:dyDescent="0.25">
      <c r="A29" s="5" t="s">
        <v>500</v>
      </c>
      <c r="B29" s="5" t="s">
        <v>495</v>
      </c>
      <c r="C29" s="5" t="s">
        <v>497</v>
      </c>
      <c r="F29" s="5" t="s">
        <v>514</v>
      </c>
      <c r="G29" s="5" t="s">
        <v>495</v>
      </c>
      <c r="H29" s="5" t="s">
        <v>497</v>
      </c>
      <c r="K29" s="5" t="s">
        <v>514</v>
      </c>
      <c r="L29" s="5" t="s">
        <v>495</v>
      </c>
      <c r="M29" s="5" t="s">
        <v>497</v>
      </c>
      <c r="P29" s="5" t="s">
        <v>514</v>
      </c>
      <c r="Q29" s="5" t="s">
        <v>495</v>
      </c>
      <c r="R29" s="5" t="s">
        <v>497</v>
      </c>
    </row>
    <row r="30" spans="1:18" x14ac:dyDescent="0.25">
      <c r="A30" s="6" t="s">
        <v>493</v>
      </c>
      <c r="B30" s="5">
        <v>1</v>
      </c>
      <c r="C30" s="10">
        <f>+B30*C9</f>
        <v>4.0000000000000008E-2</v>
      </c>
      <c r="F30" s="6" t="s">
        <v>515</v>
      </c>
      <c r="G30" s="5">
        <v>1</v>
      </c>
      <c r="H30" s="10">
        <f>+G30*H9</f>
        <v>0.05</v>
      </c>
      <c r="K30" s="6" t="s">
        <v>519</v>
      </c>
      <c r="L30" s="5">
        <v>1</v>
      </c>
      <c r="M30" s="10">
        <f>+L30*M9</f>
        <v>1.8181818181818184E-2</v>
      </c>
      <c r="P30" s="6" t="s">
        <v>531</v>
      </c>
      <c r="Q30" s="5">
        <v>0</v>
      </c>
      <c r="R30" s="10">
        <f>+Q30*R9</f>
        <v>0</v>
      </c>
    </row>
    <row r="31" spans="1:18" x14ac:dyDescent="0.25">
      <c r="A31" s="6" t="s">
        <v>494</v>
      </c>
      <c r="B31" s="5">
        <v>0</v>
      </c>
      <c r="C31" s="10">
        <f t="shared" ref="C31:C39" si="3">+B31*C10</f>
        <v>0</v>
      </c>
      <c r="F31" s="6" t="s">
        <v>516</v>
      </c>
      <c r="G31" s="5">
        <v>1</v>
      </c>
      <c r="H31" s="10">
        <f t="shared" ref="H31:H33" si="4">+G31*H10</f>
        <v>0.05</v>
      </c>
      <c r="K31" s="6" t="s">
        <v>538</v>
      </c>
      <c r="L31" s="5">
        <v>1</v>
      </c>
      <c r="M31" s="10">
        <f t="shared" ref="M31:M40" si="5">+L31*M10</f>
        <v>1.8181818181818184E-2</v>
      </c>
      <c r="P31" s="6" t="s">
        <v>541</v>
      </c>
      <c r="Q31" s="5">
        <v>0</v>
      </c>
      <c r="R31" s="10">
        <f t="shared" ref="R31:R34" si="6">+Q31*R10</f>
        <v>0</v>
      </c>
    </row>
    <row r="32" spans="1:18" x14ac:dyDescent="0.25">
      <c r="A32" s="6" t="s">
        <v>502</v>
      </c>
      <c r="B32" s="5">
        <v>1</v>
      </c>
      <c r="C32" s="10">
        <f t="shared" si="3"/>
        <v>4.0000000000000008E-2</v>
      </c>
      <c r="F32" s="6" t="s">
        <v>517</v>
      </c>
      <c r="G32" s="5">
        <v>0</v>
      </c>
      <c r="H32" s="10">
        <f t="shared" si="4"/>
        <v>0</v>
      </c>
      <c r="K32" s="6" t="s">
        <v>537</v>
      </c>
      <c r="L32" s="5">
        <v>1</v>
      </c>
      <c r="M32" s="10">
        <f t="shared" si="5"/>
        <v>1.8181818181818184E-2</v>
      </c>
      <c r="P32" s="7" t="s">
        <v>539</v>
      </c>
      <c r="Q32" s="5">
        <v>0</v>
      </c>
      <c r="R32" s="10">
        <f t="shared" si="6"/>
        <v>0</v>
      </c>
    </row>
    <row r="33" spans="1:18" x14ac:dyDescent="0.25">
      <c r="A33" s="6" t="s">
        <v>503</v>
      </c>
      <c r="B33" s="5">
        <v>1</v>
      </c>
      <c r="C33" s="10">
        <f t="shared" si="3"/>
        <v>4.0000000000000008E-2</v>
      </c>
      <c r="F33" s="6" t="s">
        <v>536</v>
      </c>
      <c r="G33" s="5">
        <v>1</v>
      </c>
      <c r="H33" s="10">
        <f t="shared" si="4"/>
        <v>0.05</v>
      </c>
      <c r="K33" s="6" t="s">
        <v>522</v>
      </c>
      <c r="L33" s="5">
        <v>1</v>
      </c>
      <c r="M33" s="10">
        <f t="shared" si="5"/>
        <v>1.8181818181818184E-2</v>
      </c>
      <c r="P33" s="7" t="s">
        <v>540</v>
      </c>
      <c r="Q33" s="5">
        <v>1</v>
      </c>
      <c r="R33" s="10">
        <f t="shared" si="6"/>
        <v>4.0000000000000008E-2</v>
      </c>
    </row>
    <row r="34" spans="1:18" x14ac:dyDescent="0.25">
      <c r="A34" s="6" t="s">
        <v>504</v>
      </c>
      <c r="B34" s="5">
        <v>0</v>
      </c>
      <c r="C34" s="10">
        <f t="shared" si="3"/>
        <v>0</v>
      </c>
      <c r="F34" s="6" t="s">
        <v>499</v>
      </c>
      <c r="G34" s="5">
        <f>SUM(G30:G33)</f>
        <v>3</v>
      </c>
      <c r="H34" s="11">
        <f>SUM(H30:H33)</f>
        <v>0.15000000000000002</v>
      </c>
      <c r="K34" s="7" t="s">
        <v>523</v>
      </c>
      <c r="L34" s="5">
        <v>1</v>
      </c>
      <c r="M34" s="10">
        <f t="shared" si="5"/>
        <v>1.8181818181818184E-2</v>
      </c>
      <c r="P34" s="7" t="s">
        <v>532</v>
      </c>
      <c r="Q34" s="5">
        <v>1</v>
      </c>
      <c r="R34" s="10">
        <f t="shared" si="6"/>
        <v>4.0000000000000008E-2</v>
      </c>
    </row>
    <row r="35" spans="1:18" x14ac:dyDescent="0.25">
      <c r="A35" s="6" t="s">
        <v>505</v>
      </c>
      <c r="B35" s="5">
        <v>0</v>
      </c>
      <c r="C35" s="10">
        <f t="shared" si="3"/>
        <v>0</v>
      </c>
      <c r="K35" s="7" t="s">
        <v>526</v>
      </c>
      <c r="L35" s="5">
        <v>1</v>
      </c>
      <c r="M35" s="10">
        <f t="shared" si="5"/>
        <v>1.8181818181818184E-2</v>
      </c>
      <c r="P35" s="6" t="s">
        <v>499</v>
      </c>
      <c r="Q35" s="5">
        <f>SUM(Q30:Q34)</f>
        <v>2</v>
      </c>
      <c r="R35" s="11">
        <f>SUM(R30:R34)</f>
        <v>8.0000000000000016E-2</v>
      </c>
    </row>
    <row r="36" spans="1:18" x14ac:dyDescent="0.25">
      <c r="A36" s="6" t="s">
        <v>506</v>
      </c>
      <c r="B36" s="5">
        <v>0</v>
      </c>
      <c r="C36" s="10">
        <f t="shared" si="3"/>
        <v>0</v>
      </c>
      <c r="K36" s="7" t="s">
        <v>524</v>
      </c>
      <c r="L36" s="5">
        <v>0</v>
      </c>
      <c r="M36" s="10">
        <f t="shared" si="5"/>
        <v>0</v>
      </c>
    </row>
    <row r="37" spans="1:18" x14ac:dyDescent="0.25">
      <c r="A37" s="6" t="s">
        <v>507</v>
      </c>
      <c r="B37" s="5">
        <v>0</v>
      </c>
      <c r="C37" s="10">
        <f t="shared" si="3"/>
        <v>0</v>
      </c>
      <c r="K37" s="7" t="s">
        <v>525</v>
      </c>
      <c r="L37" s="5">
        <v>1</v>
      </c>
      <c r="M37" s="10">
        <f t="shared" si="5"/>
        <v>1.8181818181818184E-2</v>
      </c>
    </row>
    <row r="38" spans="1:18" x14ac:dyDescent="0.25">
      <c r="A38" s="6" t="s">
        <v>508</v>
      </c>
      <c r="B38" s="5">
        <v>0</v>
      </c>
      <c r="C38" s="10">
        <f t="shared" si="3"/>
        <v>0</v>
      </c>
      <c r="K38" s="7" t="s">
        <v>527</v>
      </c>
      <c r="L38" s="5">
        <v>0</v>
      </c>
      <c r="M38" s="10">
        <f t="shared" si="5"/>
        <v>0</v>
      </c>
    </row>
    <row r="39" spans="1:18" x14ac:dyDescent="0.25">
      <c r="A39" s="6" t="s">
        <v>509</v>
      </c>
      <c r="B39" s="5">
        <v>0</v>
      </c>
      <c r="C39" s="10">
        <f t="shared" si="3"/>
        <v>0</v>
      </c>
      <c r="K39" s="7" t="s">
        <v>528</v>
      </c>
      <c r="L39" s="5">
        <v>0</v>
      </c>
      <c r="M39" s="10">
        <f t="shared" si="5"/>
        <v>0</v>
      </c>
    </row>
    <row r="40" spans="1:18" x14ac:dyDescent="0.25">
      <c r="A40" s="6" t="s">
        <v>499</v>
      </c>
      <c r="B40" s="5">
        <f>SUM(B30:B39)</f>
        <v>3</v>
      </c>
      <c r="C40" s="11">
        <f>SUM(C30:C39)</f>
        <v>0.12000000000000002</v>
      </c>
      <c r="K40" s="7" t="s">
        <v>529</v>
      </c>
      <c r="L40" s="5">
        <v>0</v>
      </c>
      <c r="M40" s="10">
        <f t="shared" si="5"/>
        <v>0</v>
      </c>
    </row>
    <row r="41" spans="1:18" x14ac:dyDescent="0.25">
      <c r="K41" s="6" t="s">
        <v>499</v>
      </c>
      <c r="L41" s="5">
        <f>SUM(L30:L40)</f>
        <v>7</v>
      </c>
      <c r="M41" s="11">
        <f>SUM(M30:M40)</f>
        <v>0.12727272727272729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DF8F8-5BEE-4B28-AD24-29120FD3AE42}">
  <dimension ref="A1:H8"/>
  <sheetViews>
    <sheetView workbookViewId="0">
      <selection activeCell="H31" sqref="H31"/>
    </sheetView>
  </sheetViews>
  <sheetFormatPr defaultRowHeight="15" x14ac:dyDescent="0.25"/>
  <cols>
    <col min="2" max="2" width="34.42578125" bestFit="1" customWidth="1"/>
  </cols>
  <sheetData>
    <row r="1" spans="1:8" x14ac:dyDescent="0.25">
      <c r="C1" s="4" t="s">
        <v>473</v>
      </c>
      <c r="D1" s="4">
        <v>2025</v>
      </c>
      <c r="E1" s="4">
        <v>2026</v>
      </c>
      <c r="F1" s="4">
        <v>2027</v>
      </c>
      <c r="G1" s="4">
        <v>2028</v>
      </c>
      <c r="H1" s="4">
        <v>2029</v>
      </c>
    </row>
    <row r="2" spans="1:8" x14ac:dyDescent="0.25">
      <c r="B2" t="s">
        <v>469</v>
      </c>
    </row>
    <row r="3" spans="1:8" x14ac:dyDescent="0.25">
      <c r="B3" t="s">
        <v>1</v>
      </c>
    </row>
    <row r="4" spans="1:8" x14ac:dyDescent="0.25">
      <c r="B4" t="s">
        <v>470</v>
      </c>
    </row>
    <row r="5" spans="1:8" x14ac:dyDescent="0.25">
      <c r="A5" s="13" t="s">
        <v>474</v>
      </c>
      <c r="B5" s="2" t="s">
        <v>472</v>
      </c>
      <c r="C5" s="2"/>
      <c r="D5" s="2"/>
      <c r="E5" s="2"/>
      <c r="F5" s="2"/>
      <c r="G5" s="2"/>
      <c r="H5" s="2"/>
    </row>
    <row r="6" spans="1:8" x14ac:dyDescent="0.25">
      <c r="A6" s="13"/>
      <c r="B6" s="2" t="s">
        <v>471</v>
      </c>
      <c r="C6" s="2"/>
      <c r="D6" s="2"/>
      <c r="E6" s="2"/>
      <c r="F6" s="2"/>
      <c r="G6" s="2"/>
      <c r="H6" s="2"/>
    </row>
    <row r="7" spans="1:8" x14ac:dyDescent="0.25">
      <c r="A7" s="13" t="s">
        <v>474</v>
      </c>
      <c r="B7" s="3" t="s">
        <v>472</v>
      </c>
      <c r="C7" s="3"/>
      <c r="D7" s="3"/>
      <c r="E7" s="3"/>
      <c r="F7" s="3"/>
      <c r="G7" s="3"/>
      <c r="H7" s="3"/>
    </row>
    <row r="8" spans="1:8" x14ac:dyDescent="0.25">
      <c r="A8" s="13"/>
      <c r="B8" s="3" t="s">
        <v>475</v>
      </c>
      <c r="C8" s="3"/>
      <c r="D8" s="3"/>
      <c r="E8" s="3"/>
      <c r="F8" s="3"/>
      <c r="G8" s="3"/>
      <c r="H8" s="3"/>
    </row>
  </sheetData>
  <mergeCells count="2">
    <mergeCell ref="A5:A6"/>
    <mergeCell ref="A7:A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RSPP</vt:lpstr>
      <vt:lpstr>PNPPKP</vt:lpstr>
      <vt:lpstr>SPSK</vt:lpstr>
      <vt:lpstr>Tagging RENJA</vt:lpstr>
      <vt:lpstr>evaluasi Irwa</vt:lpstr>
      <vt:lpstr>evaluasi supan</vt:lpstr>
      <vt:lpstr>evaluasi benda</vt:lpstr>
      <vt:lpstr>evaluasi atab</vt:lpstr>
      <vt:lpstr>form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Martha Kurniawan</dc:creator>
  <cp:lastModifiedBy>Adi Martha Kurniawan</cp:lastModifiedBy>
  <dcterms:created xsi:type="dcterms:W3CDTF">2026-09-01T07:05:52Z</dcterms:created>
  <dcterms:modified xsi:type="dcterms:W3CDTF">2026-09-07T06:34:28Z</dcterms:modified>
</cp:coreProperties>
</file>