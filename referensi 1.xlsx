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Z:\01 Strategi\Data 2026\ePerencanaan Perjuangan\"/>
    </mc:Choice>
  </mc:AlternateContent>
  <xr:revisionPtr revIDLastSave="0" documentId="13_ncr:1_{CB4B6A7D-2624-4A51-8B62-FA72B0870157}" xr6:coauthVersionLast="47" xr6:coauthVersionMax="47" xr10:uidLastSave="{00000000-0000-0000-0000-000000000000}"/>
  <bookViews>
    <workbookView xWindow="-120" yWindow="-120" windowWidth="29040" windowHeight="15720" activeTab="5" xr2:uid="{46AA3FFA-DDCA-4F6B-AF75-1E573E662703}"/>
  </bookViews>
  <sheets>
    <sheet name="RSPP" sheetId="1" r:id="rId1"/>
    <sheet name="PNPPKP" sheetId="2" r:id="rId2"/>
    <sheet name="SPSK" sheetId="3" r:id="rId3"/>
    <sheet name="Tagging dinamis" sheetId="11" r:id="rId4"/>
    <sheet name="Tagging RENJA" sheetId="4" r:id="rId5"/>
    <sheet name="Form Proyek 7691" sheetId="6" r:id="rId6"/>
    <sheet name="Pemaketan" sheetId="13" r:id="rId7"/>
    <sheet name="AKUN" sheetId="14" r:id="rId8"/>
    <sheet name="form" sheetId="5" r:id="rId9"/>
  </sheets>
  <definedNames>
    <definedName name="_xlnm._FilterDatabase" localSheetId="0" hidden="1">RSPP!$A$1:$P$820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32" i="6" l="1"/>
  <c r="AF43" i="6"/>
  <c r="AF33" i="6"/>
  <c r="AG39" i="6" s="1"/>
  <c r="Q70" i="6"/>
  <c r="R46" i="6" s="1"/>
  <c r="L40" i="6"/>
  <c r="M33" i="6" s="1"/>
  <c r="K40" i="6"/>
  <c r="D8" i="6"/>
  <c r="AK22" i="6"/>
  <c r="AL30" i="6" s="1"/>
  <c r="E21" i="6"/>
  <c r="F14" i="6" s="1"/>
  <c r="AL20" i="6" l="1"/>
  <c r="AL19" i="6"/>
  <c r="AL18" i="6"/>
  <c r="AL27" i="6"/>
  <c r="AL28" i="6"/>
  <c r="AL29" i="6"/>
  <c r="AL31" i="6"/>
  <c r="AL17" i="6"/>
  <c r="AL21" i="6"/>
  <c r="AG27" i="6"/>
  <c r="AG29" i="6"/>
  <c r="AG31" i="6"/>
  <c r="AG37" i="6"/>
  <c r="AG41" i="6"/>
  <c r="R48" i="6"/>
  <c r="R47" i="6"/>
  <c r="R64" i="6"/>
  <c r="R68" i="6"/>
  <c r="R45" i="6"/>
  <c r="R50" i="6"/>
  <c r="R67" i="6"/>
  <c r="R66" i="6"/>
  <c r="R13" i="6"/>
  <c r="R65" i="6"/>
  <c r="R23" i="6"/>
  <c r="F20" i="6"/>
  <c r="F17" i="6"/>
  <c r="F16" i="6"/>
  <c r="F13" i="6"/>
  <c r="F19" i="6"/>
  <c r="F18" i="6"/>
  <c r="F15" i="6"/>
  <c r="M24" i="6"/>
  <c r="M38" i="6"/>
  <c r="M28" i="6"/>
  <c r="M14" i="6"/>
  <c r="M18" i="6"/>
  <c r="M20" i="6"/>
  <c r="M23" i="6"/>
  <c r="M25" i="6"/>
  <c r="M36" i="6"/>
  <c r="M29" i="6"/>
  <c r="M13" i="6"/>
  <c r="M15" i="6"/>
  <c r="M37" i="6"/>
  <c r="M32" i="6"/>
  <c r="M19" i="6"/>
  <c r="AL32" i="6" l="1"/>
  <c r="AG33" i="6"/>
  <c r="AG43" i="6"/>
  <c r="R70" i="6"/>
  <c r="M40" i="6"/>
  <c r="AL22" i="6"/>
  <c r="F21" i="6"/>
</calcChain>
</file>

<file path=xl/sharedStrings.xml><?xml version="1.0" encoding="utf-8"?>
<sst xmlns="http://schemas.openxmlformats.org/spreadsheetml/2006/main" count="2247" uniqueCount="702">
  <si>
    <t>Program</t>
  </si>
  <si>
    <t>Kegiatan</t>
  </si>
  <si>
    <t>KRO</t>
  </si>
  <si>
    <t>RO</t>
  </si>
  <si>
    <t>Satuan RO</t>
  </si>
  <si>
    <t>Komponen</t>
  </si>
  <si>
    <t>FC Ketahanan Sumber Daya Air</t>
  </si>
  <si>
    <t>7686 Pengendalian Lumpur Sidoarjo</t>
  </si>
  <si>
    <t>7686.BAH Pelayanan Publik Lainnya</t>
  </si>
  <si>
    <t>Layanan</t>
  </si>
  <si>
    <t>Dokumen</t>
  </si>
  <si>
    <t>7686.BAH.001 Layanan Pelaksanaan Teknis Bidang Pengendalian Lumpur Sidoarjo</t>
  </si>
  <si>
    <t>7686.BAH.002 Layanan Teknis Pendukung Bidang Pengendalian Lumpur Sidoarjo</t>
  </si>
  <si>
    <t>7686.CBH Prasarana Bidang Penanggulangan Bencana</t>
  </si>
  <si>
    <t>Unit</t>
  </si>
  <si>
    <t>7686.CBH.001 Prasarana Kawasan Sekitar Tampungan Lumpur Sidoarjo</t>
  </si>
  <si>
    <t>7686.CBR Dukungan Teknis</t>
  </si>
  <si>
    <t>7686.CBR.001 Dokumen Teknis Bidang Pengendalian Lumpur Sidoarjo</t>
  </si>
  <si>
    <t>7686.CBS Prasarana Jaringan Sumber Daya Air</t>
  </si>
  <si>
    <t>Km</t>
  </si>
  <si>
    <t>7686.CBS.001 Tanggul Penahan Lumpur Sidoarjo</t>
  </si>
  <si>
    <t>7686.CBS.002 Jaringan Infrastruktur Pengendali Lumpur Sidoarjo</t>
  </si>
  <si>
    <t>7686.CDH OP Prasarana Penanggulangan Bencana</t>
  </si>
  <si>
    <t>7686.CDH.001 Layanan Operasi dan Pemeliharaan Prasarana Pengendali Lumpur Sidoarjo</t>
  </si>
  <si>
    <t>7686.CDR OP Prasarana Jaringan Sumber Daya Air</t>
  </si>
  <si>
    <t>7686.CDR.001 Layanan Operasi dan Pemeliharaan Prasarana Pengendali Lumpur Sidoarjo</t>
  </si>
  <si>
    <t>7687 Layanan Kesekretariatan Dewan Sumber Daya Air Nasional (DSDAN)</t>
  </si>
  <si>
    <t>7687.ABF Kebijakan Bidang Sarana dan Prasarana</t>
  </si>
  <si>
    <t>Rekomendasi Kebijakan</t>
  </si>
  <si>
    <t>7687.ABF.001 Rekomendasi terhadap Kebijakan Pengelolaan SDA Nasional</t>
  </si>
  <si>
    <t>7687.BAH Pelayanan Publik Lainnya</t>
  </si>
  <si>
    <t>7687.BAH.001 Layanan Pendukung Kegiatan Kesekretariatan Dewan Sumber Daya Air Nasional (DSDAN)</t>
  </si>
  <si>
    <t>7688 Perencanaan, Pemrograman, Penganggaran, dan Evaluasi</t>
  </si>
  <si>
    <t>7688.ABF Kebijakan Bidang Sarana dan Prasarana</t>
  </si>
  <si>
    <t>7688.ABF.001 Rekomendasi Kebijakan Pelaksanaan Upaya Pengelolaan SDA WS Kewenangan Pusat</t>
  </si>
  <si>
    <t>7688.ABF.010 Pola dan Rencana Pengelolaan Sumber Daya Air Wilayah Sungai</t>
  </si>
  <si>
    <t>7688.BAH Pelayanan Publik Lainnya</t>
  </si>
  <si>
    <t>7688.BAH.001 Layanan Teknis Sistem dan Strategi Pengelolaan SDA</t>
  </si>
  <si>
    <t>7688.CBR Dukungan Teknis</t>
  </si>
  <si>
    <t>7688.CBR.001 Bidang Tanah untuk Infrastruktur Sumber Daya Air</t>
  </si>
  <si>
    <t>7688.CBR.002 Fasilitasi Unit Manajemen atau Pelaksanaan Proyek (PMU/PIU)</t>
  </si>
  <si>
    <t>7688.CBR.003 Dokumen Pelaksanaan Sistem dan Strategi Pengelolaan Sumber Daya Air</t>
  </si>
  <si>
    <t>7689 Kepatuhan Intern Direktorat Jenderal Sumber Daya Air</t>
  </si>
  <si>
    <t>7689.BAH Pelayanan Publik Lainnya</t>
  </si>
  <si>
    <t>7689.BAH.001 Layanan Teknis Kepatuhan Intern dan Manajemen Risiko UPT</t>
  </si>
  <si>
    <t>7689.BAH.002 Zona Integritas</t>
  </si>
  <si>
    <t>7689.BAH.003 Layanan Pembinaan Teknis Kepatuhan Intern dan Manajemen Risiko</t>
  </si>
  <si>
    <t>7690 Layanan Teknis SDA</t>
  </si>
  <si>
    <t>7690.BAH Pelayanan Publik Lainnya</t>
  </si>
  <si>
    <t>7690.BAH.001 Layanan Teknis Sumber Daya Air</t>
  </si>
  <si>
    <t>7690.BAH.002 Layanan Unit Kaji Cepat</t>
  </si>
  <si>
    <t>7690.BAH.003 Layanan Teknis Pelaksanaan Pengelolaan Sumber Daya Air</t>
  </si>
  <si>
    <t>7690.BAH.004 Layanan Teknis Pendukung Kegiatan Pengelolaan Sumber Daya Air</t>
  </si>
  <si>
    <t>7690.BMA Data dan Informasi Publik</t>
  </si>
  <si>
    <t>7690.BMA.001 Sistem Informasi SDA</t>
  </si>
  <si>
    <t>7690.BMA.002 Sistem Informasi Hidrologi dan Kualitas Air</t>
  </si>
  <si>
    <t>7690.CAN Sarana Bidang Teknologi Informasi dan Komunikasi</t>
  </si>
  <si>
    <t>7690.CAN.001 Sistem Data dan Informasi SDA</t>
  </si>
  <si>
    <t>7690.CAN.002 Pos Hidrologi</t>
  </si>
  <si>
    <t>7690.CBR Dukungan Teknis</t>
  </si>
  <si>
    <t>7690.CBR.002 Dokumen Pengembangan, Perekayasaan, dan Penerapan Teknologi</t>
  </si>
  <si>
    <t>7690.CBR.005 Dokumen Perhitungan Indeks Ketahanan Air Nasional</t>
  </si>
  <si>
    <t>7690.CBR.006 Dokumen Neraca Air Wilayah Sungai</t>
  </si>
  <si>
    <t>7690.CBR.007 Fasilitasi Unit Manajemen atau Pelaksanaan Proyek (PMU/PIU)</t>
  </si>
  <si>
    <t>7690.CBR.008 Dokumen Perhitungan Indeks Ketahanan Air Wilayah Sungai</t>
  </si>
  <si>
    <t>7690.CBR.009 Dokumen Neraca Air Nasional</t>
  </si>
  <si>
    <t>7691 Pengembangan dan Rehabilitasi Jaringan Irigasi Permukaan, Rawa, dan Non-Padi</t>
  </si>
  <si>
    <t>7691.BAH Pelayanan Publik Lainnya</t>
  </si>
  <si>
    <t>7691.BAH.001 Layanan Teknis Bidang Irigasi dan Rawa</t>
  </si>
  <si>
    <t>7691.BAH.002 Layanan Teknis Pendukung Bidang Irigasi dan Rawa</t>
  </si>
  <si>
    <t>7691.CBG Prasarana Bidang SDA dan Irigasi</t>
  </si>
  <si>
    <t>7691.CBG.001 Bendung Irigasi</t>
  </si>
  <si>
    <t>7691.CBG.003 Bangunan Air Irigasi</t>
  </si>
  <si>
    <t>7691.CBR Dukungan Teknis</t>
  </si>
  <si>
    <t>7691.CBR.001 Dokumen Teknis Bidang Irigasi dan Rawa</t>
  </si>
  <si>
    <t>7691.CBR.002 Fasilitasi Unit Manajemen atau Pelaksanaan Proyek (PMU/PIU)</t>
  </si>
  <si>
    <t>7691.CBR.003 Unit Desain</t>
  </si>
  <si>
    <t>7691.CBS Prasarana Jaringan Sumber Daya Air</t>
  </si>
  <si>
    <t>7691.CBS.001 Jaringan Irigasi untuk Komoditas Non Padi dan Tambak</t>
  </si>
  <si>
    <t>7691.CBS.002 Jaringan Irigasi di Sentra Produksi Lumbung Pangan</t>
  </si>
  <si>
    <t>7691.RBG Prasarana Bidang SDA dan Irigasi</t>
  </si>
  <si>
    <t>7691.RBG.002 Bangunan Irigasi Kewenangan Pemerintah Daerah</t>
  </si>
  <si>
    <t>7691.RBG.004 Bendung Irigasi</t>
  </si>
  <si>
    <t>7691.RBS Prasarana Jaringan Sumber Daya Air</t>
  </si>
  <si>
    <t>7691.RBS.001 Jaringan Irigasi Waduk</t>
  </si>
  <si>
    <t>7691.RBS.003 Jaringan Irigasi di Sentra Produksi Lumbung Pangan</t>
  </si>
  <si>
    <t>7691.RBS.005 Jaringan Irigasi Kewenangan Pemerintah Daerah</t>
  </si>
  <si>
    <t>7692 Pengendalian Banjir, Lahar, Pengelolaan Drainase Utama Perkotaan, dan Pengaman Pantai</t>
  </si>
  <si>
    <t>7692.BAH Pelayanan Publik Lainnya</t>
  </si>
  <si>
    <t>7692.BAH.001 Layanan Teknis Pelaksanaan Bidang Sungai dan Pantai</t>
  </si>
  <si>
    <t>7692.BAH.002 Layanan Teknis Pendukung Kegiatan Bidang Sungai dan Pantai</t>
  </si>
  <si>
    <t>7692.CBH Prasarana Bidang Penanggulangan Bencana</t>
  </si>
  <si>
    <t>7692.CBH.001 Prasarana Pengendali Lahar/Sedimen</t>
  </si>
  <si>
    <t>7692.CBH.002 Prasarana Pengendalian Banjir di Kawasan Strategis Ekonomi, Kawasan Perkotaan, 3T, dan Daerah Berisiko Tinggi dari Daya Rusak Air</t>
  </si>
  <si>
    <t>7692.CBR Dukungan Teknis</t>
  </si>
  <si>
    <t>7692.CBR.001 Dokumen Teknis Bidang Sungai dan Pantai</t>
  </si>
  <si>
    <t>7692.CBR.002 Fasilitasi Unit Manajemen atau Pelaksanaan Proyek (PMU/PIU)</t>
  </si>
  <si>
    <t>7692.CBR.003 Unit Desain</t>
  </si>
  <si>
    <t>7692.CBS Prasarana Jaringan Sumber Daya Air</t>
  </si>
  <si>
    <t>7692.CBS.001 Prasarana Pengendalian Banjir di Kawasan Strategis Ekonomi, Kawasan Perkotaan, 3T, dan Daerah Berisiko Tinggi dari Daya Rusak Air</t>
  </si>
  <si>
    <t>7692.CBS.003 Prasarana Perlindungan Abrasi Kawasan Pesisir Perkotaan, Strategis Ekonomi, dan Kawasan Berisiko Abrasi Tinggi</t>
  </si>
  <si>
    <t>7692.CBS.004 Prasarana Perlindungan Pantai Kawasan 3T</t>
  </si>
  <si>
    <t>7692.RBH Prasarana Bidang Penanggulangan Bencana</t>
  </si>
  <si>
    <t>7692.RBH.001 Prasarana Pengendalian Banjir di Kawasan Metropolitan Strategis</t>
  </si>
  <si>
    <t>7692.RBH.003 Prasarana Pengendali Risiko Daya Rusak Air di Perkotaan Pesisir Utara Jawa</t>
  </si>
  <si>
    <t>7692.RBH.004 Prasarana Pengendalian Lahar/Sedimen di Kawasan Strategis Ekonomi, Kawasan Perkotaan, 3T, dan Daerah Berisiko Tinggi</t>
  </si>
  <si>
    <t>7692.RBS Prasarana Jaringan Sumber Daya Air</t>
  </si>
  <si>
    <t>7692.RBS.001 Prasarana Pengendalian Banjir di Kawasan Metropolitan Strategis</t>
  </si>
  <si>
    <t>7692.RBS.002 Prasarana Jaringan Pengendali Risiko Daya Rusak Air di Perkotaan Pesisir Utara Jawa</t>
  </si>
  <si>
    <t>7692.RBS.003 Prasarana Pengendalian Banjir di Kawasan Strategis Ekonomi, Kawasan Perkotaan, 3T, dan Daerah Berisiko Tinggi dari Daya Rusak Air</t>
  </si>
  <si>
    <t>7692.RBS.004 Prasarana Perlindungan Abrasi Kawasan Pesisir Perkotaan, Strategis Ekonomi, 3T, dan Kawasan Berisiko Abrasi Tinggi</t>
  </si>
  <si>
    <t>7693 Pengembangan Bendungan, Danau, dan Bangunan Penampung Air Lainnya</t>
  </si>
  <si>
    <t>7693.BAH Pelayanan Publik Lainnya</t>
  </si>
  <si>
    <t>7693.BAH.001 Layanan Teknis Bidang Bendungan</t>
  </si>
  <si>
    <t>7693.BAH.002 Layanan Teknis Pelaksanaan Bidang Bendungan dan Danau</t>
  </si>
  <si>
    <t>7693.BAH.003 Layanan Teknis Pendukung Kegiatan Bidang Bendungan dan Danau</t>
  </si>
  <si>
    <t>7693.CBG Prasarana Bidang SDA dan Irigasi</t>
  </si>
  <si>
    <t>7693.CBG.001 Bendungan untuk Swasembada Air, Pangan, dan Energi</t>
  </si>
  <si>
    <t>7693.CBG.005 Danau, Situ, dan Tampungan Air Alami</t>
  </si>
  <si>
    <t>7693.CBR Dukungan Teknis</t>
  </si>
  <si>
    <t>7693.CBR.001 Dokumen Teknis Bidang Bendungan dan Danau</t>
  </si>
  <si>
    <t>7693.CBR.004 Fasilitasi Unit Manajemen atau Pelaksanaan Proyek (PMU/PIU)</t>
  </si>
  <si>
    <t>7693.CBR.005 Unit Desain</t>
  </si>
  <si>
    <t>7693.RBG Prasarana Bidang SDA dan Irigasi</t>
  </si>
  <si>
    <t>7693.RBG.004 Bendungan Cibeet</t>
  </si>
  <si>
    <t>7693.RBG.702 Danau Ranau</t>
  </si>
  <si>
    <t>7694 Pengembangan Jaringan Air Tanah dan Air Baku</t>
  </si>
  <si>
    <t>7694.BAH Pelayanan Publik Lainnya</t>
  </si>
  <si>
    <t>7694.BAH.001 Layanan Teknis Pelaksanaan Bidang Air Tanah dan Air Baku</t>
  </si>
  <si>
    <t>7694.BAH.002 Layanan Teknis Pendukung Kegiatan Bidang Air Tanah dan Air Baku</t>
  </si>
  <si>
    <t>7694.CBG Prasarana Bidang SDA dan Irigasi</t>
  </si>
  <si>
    <t>7694.CBG.001 Embung dan Tampungan Air Lainnya pada Kawasan Metropolitan, Kawasan Perkotaan dan Kawasan Strategis</t>
  </si>
  <si>
    <t>7694.CBG.002 Embung dan Tampungan Air Lainnya pada Kawasan Sulit Air, Bencana Kekeringan, dan Terpencil (3T)</t>
  </si>
  <si>
    <t>7694.CBG.005 Sumur Air Tanah pada Kawasan Metropolitan, Kawasan Perkotaan, dan Kawasan Strategis</t>
  </si>
  <si>
    <t>7694.CBG.006 Sumur Air Tanah pada Kawasan Sulit Air, Bencana Kekeringan, dan Terpencil (3T)</t>
  </si>
  <si>
    <t>7694.CBR Dukungan Teknis</t>
  </si>
  <si>
    <t>7694.CBR.001 Dukungan Teknis Bidang Air Tanah dan Air Baku</t>
  </si>
  <si>
    <t>7694.CBR.003 Fasilitasi Unit Manajemen atau Pelaksanaan Proyek (PMU/PIU)</t>
  </si>
  <si>
    <t>7694.CBR.004 Unit Desain</t>
  </si>
  <si>
    <t>7694.CBS Prasarana Jaringan Sumber Daya Air</t>
  </si>
  <si>
    <t>7694.CBS.001 Prasarana Air Baku Kawasan Metropolitan, Kawasan Perkotaan, dan Kawasan Strategis</t>
  </si>
  <si>
    <t>7694.CBS.002 Prasarana Air Baku Kawasan Sulit Air, Bencana Kekeringan, dan Kawasan Terpencil (3T)</t>
  </si>
  <si>
    <t>7694.CBS.005 JIAT untuk Mendukung Swasembada Pangan</t>
  </si>
  <si>
    <t>7694.CBS.006 JIAT untuk Mendukung Kawasan Sentra Produksi Pangan</t>
  </si>
  <si>
    <t>7694.RBG Prasarana Bidang SDA dan Irigasi</t>
  </si>
  <si>
    <t>7694.RBG.002 Prasarana Air Baku Mendukung Irigasi Kewenangan Pemerintah Daerah</t>
  </si>
  <si>
    <t>7694.RBG.004 Embung dan Tampungan Air Lainnya Mendukung Swasembada Air</t>
  </si>
  <si>
    <t>7694.RBG.005 Sumur Air Tanah Mendukung Swasembada Air</t>
  </si>
  <si>
    <t>7694.RBS Prasarana Jaringan Sumber Daya Air</t>
  </si>
  <si>
    <t>7694.RBS.001 Prasarana Penyediaan Air Baku Bersumber dari Bendungan</t>
  </si>
  <si>
    <t>7694.RBS.003 Prasarana Air Baku di Kawasan Sentra Produksi Pangan</t>
  </si>
  <si>
    <t>7694.RBS.004 Prasarana Penyediaan Air Baku di Perkotaan Pesisir Utara Jawa</t>
  </si>
  <si>
    <t>7694.RBS.005 Prasarana Air Baku Kawasan Metropolitan, Kawasan Perkotaan, dan Kawasan Strategis</t>
  </si>
  <si>
    <t>7694.RBS.006 Jaringan Irigasi Air Tanah Mendukung Irigasi Kewenangan Pemerintah Daerah</t>
  </si>
  <si>
    <t>7695 Operasi dan Pemeliharaan Sarana Prasarana SDA serta Penanggulangan Darurat Akibat Bencana</t>
  </si>
  <si>
    <t>7695.AEA Koordinasi</t>
  </si>
  <si>
    <t>7695.AEA.001 Koordinasi TKPSDA WS Kewenangan Pusat dan Lembaga Lainnya</t>
  </si>
  <si>
    <t>7695.BAH Pelayanan Publik Lainnya</t>
  </si>
  <si>
    <t>7695.BAH.001 Layanan Perizinan Pengusahaan Sumber Daya Air</t>
  </si>
  <si>
    <t>7695.BAH.002 Layanan Biaya Jasa Pengelolaan Sumber Daya Air (BJPSDA)</t>
  </si>
  <si>
    <t>7695.BAH.003 Layanan Pemantauan Sumber Daya Air</t>
  </si>
  <si>
    <t>7695.BAH.004 Layanan Teknis Pelaksanaan Bidang Operasi dan Pemeliharaan</t>
  </si>
  <si>
    <t>7695.BAH.005 Layanan Teknis Pendukung Kegiatan Bidang Operasi dan Pemeliharaan</t>
  </si>
  <si>
    <t>7695.BDD Fasilitasi dan Pembinaan Kelompok Masyarakat</t>
  </si>
  <si>
    <t>Kelompok Masyarakat</t>
  </si>
  <si>
    <t>7695.BDD.001 Fasilitasi dan Pembinaan Kelompok Masyarakat Peduli Sungai</t>
  </si>
  <si>
    <t>7695.BDD.002 Fasilitasi dan Pembinaan Kelompok Masyarakat Peduli Tampungan Air</t>
  </si>
  <si>
    <t>7695.BDD.003 Fasilitasi Gerakan Nasional Kemitraan Penyelamatan Air (GNKPA)</t>
  </si>
  <si>
    <t>7695.BHC Operasi Bidang Penanggulangan Bencana</t>
  </si>
  <si>
    <t>Operasi</t>
  </si>
  <si>
    <t>7695.BHC.001 Operasi Tanggap Darurat Bencana</t>
  </si>
  <si>
    <t>7695.BHC.002 Operasi Monitoring Bencana</t>
  </si>
  <si>
    <t>7695.BHC.003 Operasi Penyediaan Bahan Persediaan Bencana</t>
  </si>
  <si>
    <t>7695.BHC.004 Operasi Modifikasi Cuaca</t>
  </si>
  <si>
    <t>7695.BHC.005 Operasi Tanggap Darurat Bencana UPT</t>
  </si>
  <si>
    <t>7695.BHD Operasi Pengawasan Sumber Daya Alam</t>
  </si>
  <si>
    <t>7695.BHD.001 Operasi Unit Pengelola Infrastruktur Sumber Daya Air</t>
  </si>
  <si>
    <t>7695.CAP Sarana Bidang Penanggulangan Bencana</t>
  </si>
  <si>
    <t>7695.CAP.001 Alat Berat Operasi dan Pemeliharaan Bidang Sumber Daya Air</t>
  </si>
  <si>
    <t>7695.CBR Dukungan Teknis</t>
  </si>
  <si>
    <t>7695.CBR.001 Dokumen Rekomendasi Teknis Perizinan</t>
  </si>
  <si>
    <t>7695.CBR.002 Dokumen RBO Benchmarking</t>
  </si>
  <si>
    <t>7695.CBR.003 Dokumen Alokasi air</t>
  </si>
  <si>
    <t>7695.CBR.004 Dokumen Perhitungan Pasokan Air untuk Irigasi</t>
  </si>
  <si>
    <t>7695.CBR.006 Dokumen Teknis Bidang OP</t>
  </si>
  <si>
    <t>7695.CCM OP Sarana Bidang Penanggulangan Bencana</t>
  </si>
  <si>
    <t>7695.CCM.001 Layanan Operasi dan Pemeliharaan Sarana Alat Berat</t>
  </si>
  <si>
    <t>7695.CDG OP Prasarana Jaringan Sumber Daya Air</t>
  </si>
  <si>
    <t>7695.CDG.001 Layanan Operasi dan Pemeliharaan Bendungan</t>
  </si>
  <si>
    <t>7695.CDG.002 Layanan Operasi dan Pemeliharaan Embung dan Mata Air</t>
  </si>
  <si>
    <t>7695.CDG.004 Layanan Pemeliharaan Danau</t>
  </si>
  <si>
    <t>7695.CDG.005 Layanan Pemeliharaan Situ</t>
  </si>
  <si>
    <t>7695.CDG.006 Layanan Pemeliharaan Sungai</t>
  </si>
  <si>
    <t>7695.CDG.008 Layanan Penetapan Sempadan</t>
  </si>
  <si>
    <t>7695.CDG.010 Layanan Operasi dan Pemeliharaan Prasarana Air Baku</t>
  </si>
  <si>
    <t>7695.CDG.011 Layanan Operasi dan Pemeliharaan Sumur Air Tanah untuk Air Baku</t>
  </si>
  <si>
    <t>7695.CDG.016 Layanan Operasi dan Pemeliharaan Bendung Irigasi</t>
  </si>
  <si>
    <t>7695.CDG.017 Layanan Operasi dan Pemeliharaan Sumur JIAT</t>
  </si>
  <si>
    <t>7695.CDH OP Prasarana Penanggulangan Bencana</t>
  </si>
  <si>
    <t>7695.CDH.001 Layanan Operasi dan Pemeliharaan Prasarana Pengendali Lahar/Sedimen</t>
  </si>
  <si>
    <t>7695.CDH.002 Layanan Operasi dan Pemeliharaan Prasarana Pengendali Banjir</t>
  </si>
  <si>
    <t>7695.CDR OP Prasarana Jaringan Sumber Daya Air</t>
  </si>
  <si>
    <t>7695.CDR.001 Layanan Operasi dan Pemeliharaan Prasarana Jaringan Irigasi</t>
  </si>
  <si>
    <t>7695.CDR.002 Layanan Operasi dan Pemeliharaan Prasarana Pengendali Banjir</t>
  </si>
  <si>
    <t>7695.CDR.003 Layanan Pemeliharaan Prasarana Pengaman Pantai</t>
  </si>
  <si>
    <t>7695.CDR.006 Layanan Operasi dan Pemeliharaan Prasarana Air Baku</t>
  </si>
  <si>
    <t>7695.CDR.007 Layanan Operasi dan Pemeliharaan Prasarana JIAT</t>
  </si>
  <si>
    <t>7695.CDR.008 Layanan Operasi dan Pemeliharaan Prasarana Jaringan Irigasi Tersier dan Kuarter</t>
  </si>
  <si>
    <t>7695.RDG OP Prasarana Bidang SDA dan Irigasi</t>
  </si>
  <si>
    <t>7695.RDG.001 Prasarana Irigasi Melalui Padat Karya</t>
  </si>
  <si>
    <t>WA Dukungan Manajemen</t>
  </si>
  <si>
    <t>7755 Dukungan Manajemen Ditjen Sumber Daya Air</t>
  </si>
  <si>
    <t>7755.EBA Layanan Dukungan Manajemen Internal</t>
  </si>
  <si>
    <t>7755.EBA.962 Layanan Umum</t>
  </si>
  <si>
    <t>7755.EBA.994 Layanan Perkantoran</t>
  </si>
  <si>
    <t>7755.EBA.Z01 Layanan Hukum</t>
  </si>
  <si>
    <t>7755.EBA.Z02 Layanan Hubungan Masyarakat dan Informasi pada Tingkat K/L</t>
  </si>
  <si>
    <t>7755.EBA.Z03 Layanan Hubungan Masyarakat dan Informasi pada Satker Vertikal</t>
  </si>
  <si>
    <t>7755.EBA.Z04 Layanan Bantuan Hukum Pegawai</t>
  </si>
  <si>
    <t>7755.EBA.Z05 Layanan Bantuan Hukum Instansi</t>
  </si>
  <si>
    <t>7755.EBA.Z06 Layanan BMN pada Tingkat K/L</t>
  </si>
  <si>
    <t>7755.EBA.Z07 Layanan BMN pada Satker Vertikal</t>
  </si>
  <si>
    <t>7755.EBA.Z08 Layanan Organisasi dan Tata Kelola Internal</t>
  </si>
  <si>
    <t>7755.EBB Layanan Sarana dan Prasarana Internal</t>
  </si>
  <si>
    <t>7755.EBB.951 Layanan Sarana Internal</t>
  </si>
  <si>
    <t>7755.EBB.971 Layanan Prasarana Internal</t>
  </si>
  <si>
    <t>7755.EBC Layanan Manajemen SDM Internal</t>
  </si>
  <si>
    <t>7755.EBC.Z11 Layanan Manajemen SDM Lingkup kementerian/lembaga yang memiliki satker vertikal/ memiliki UPT di daerah Kategori Besar</t>
  </si>
  <si>
    <t>7755.EBD Layanan Manajemen Kinerja Internal</t>
  </si>
  <si>
    <t>7755.EBD.Z26 Layanan Manajemen Keuangan pada Tingkat K/L</t>
  </si>
  <si>
    <t>7755.EBD.Z27 Layanan Manajemen Keuangan pada Satker Vertikal</t>
  </si>
  <si>
    <t>7755.EBD.Z33 Layanan Penyelenggaraan Kearsipan pada Tingkat K/L</t>
  </si>
  <si>
    <t>7755.EBD.Z34 Layanan Penyelenggaraan Kearsipan pada Satker Vertikal</t>
  </si>
  <si>
    <t>300 Penyusunan NSPK</t>
  </si>
  <si>
    <t>311 Bimbingan/Pembinaan Teknis</t>
  </si>
  <si>
    <t>319 Monitoring, Evaluasi, dan Pelaporan</t>
  </si>
  <si>
    <t>302 Penyusunan Dokumen Perencanaan</t>
  </si>
  <si>
    <t>303 Penyusunan Dokumen Kinerja</t>
  </si>
  <si>
    <t>304 Penyusunan Dokumen KIMR</t>
  </si>
  <si>
    <t>100 Pengawasan/Supervisi Konstruksi</t>
  </si>
  <si>
    <t>102 Persiapan Operasi dan Pemeliharaan</t>
  </si>
  <si>
    <t>108 Konstruksi Prasarana Pendukung</t>
  </si>
  <si>
    <t>109 Konstruksi Penataan Kawasan</t>
  </si>
  <si>
    <t>301 Penyusunan Dokumen Teknis</t>
  </si>
  <si>
    <t>308 Pelaksanaan Layanan Teknis</t>
  </si>
  <si>
    <t>104 Konstruksi Pembangunan Lanjutan/On-Going</t>
  </si>
  <si>
    <t>106 Konstruksi Peningkatan</t>
  </si>
  <si>
    <t>107 Pemasangan Peralatan/Instrumen</t>
  </si>
  <si>
    <t>105 Konstruksi Rehabilitasi</t>
  </si>
  <si>
    <t>101 Pembayaran Eskalasi dan Tunggakan</t>
  </si>
  <si>
    <t>103 Konstruksi Pembangunan Baru</t>
  </si>
  <si>
    <t>200 Operasi Rutin</t>
  </si>
  <si>
    <t>201 Pemeliharaan Rutin</t>
  </si>
  <si>
    <t>202 Pemeliharaan Berkala</t>
  </si>
  <si>
    <t>214 Pengaliran Lumpur</t>
  </si>
  <si>
    <t>204 Penyusunan Dokumen OP</t>
  </si>
  <si>
    <t>305 Koordinasi Antar-lembaga</t>
  </si>
  <si>
    <t>309 Pelaksanaan layanan Informasi, Data, dan Publikasi</t>
  </si>
  <si>
    <t>312 Fasilitasi Bantuan, Jasa profesi, dan Pendampingan</t>
  </si>
  <si>
    <t>318 Pengembangan dan Pengadaan Sistem Informasi (Software)</t>
  </si>
  <si>
    <t>110 Persiapan Pengadaan Tanah</t>
  </si>
  <si>
    <t>111 Pelaksanaan Pengadaan Tanah</t>
  </si>
  <si>
    <t>315 Pemasangan Peralatan/Instrumen dan Sistem Informasi (Hardware)</t>
  </si>
  <si>
    <t>PN</t>
  </si>
  <si>
    <t>PP</t>
  </si>
  <si>
    <t>KP</t>
  </si>
  <si>
    <t>RPJMN</t>
  </si>
  <si>
    <t>02 Memantapkan Sistem Pertahanan Keamanan Negara dan Mendorong Kemandirian Bangsa melalui Swasembada Pangan, Energi, Air, Ekonomi Syariah, Ekonomi Digital, Ekonomi Hijau, dan Ekonomi Biru</t>
  </si>
  <si>
    <t>02.12 Swasembada Air</t>
  </si>
  <si>
    <t>02.12.01 Pembangunan dan Pengelolaan Tampungan Air</t>
  </si>
  <si>
    <t>02.12.02 Penyediaan Pasokan Air Berkelanjutan</t>
  </si>
  <si>
    <t>02.12.03 Pengelolaan Risiko Daya Rusak Air</t>
  </si>
  <si>
    <t>02.12.09</t>
  </si>
  <si>
    <t>Pengembangan Terpadu Pesisir Utara Jawa</t>
  </si>
  <si>
    <t>SP</t>
  </si>
  <si>
    <t>ISP</t>
  </si>
  <si>
    <t>Ketahanan Sumber Daya Air</t>
  </si>
  <si>
    <t>Terwujudnya pengelolaan sumber daya air berkelanjutan dan produktif untuk mendukung swasembada air nasional</t>
  </si>
  <si>
    <t>Kapasitas tampungan air</t>
  </si>
  <si>
    <t>Rasio kapasitas air baku terpasang terhadap kebutuhan penduduk</t>
  </si>
  <si>
    <t>Persentase luas baku sawah fungsional beririgasi</t>
  </si>
  <si>
    <t>Rasio luas layanan irigasi yang ketersediaan airnya dijamin oleh waduk</t>
  </si>
  <si>
    <t>Efisiensi pemanfaatan air irigasi</t>
  </si>
  <si>
    <t>Persentase luas kawasan prioritas yang dilindungi dari daya rusak air</t>
  </si>
  <si>
    <t>Tingkat kinerja layanan infrastruktur sumber daya air</t>
  </si>
  <si>
    <t>Persentase pemanfaatan air tanah untuk kebutuhan pertanian multikomoditas</t>
  </si>
  <si>
    <t>Persentase kondisi keandalan daerah irigasi</t>
  </si>
  <si>
    <t>Mentransformasi tata kelola pengelolaan sumber daya air terintegrasi</t>
  </si>
  <si>
    <t>Tingkat layanan perizinan berusaha penggunaan SDA, kelembagaan pengelolaan SDA, dan peran serta masyarakat</t>
  </si>
  <si>
    <t>Tingkat layanan administrasi dan teknis operasional Dewan SDA Nasional</t>
  </si>
  <si>
    <t>Tingkat Kepatuhan Intern Direktorat Jenderal Sumber Daya Air</t>
  </si>
  <si>
    <t>Tingkat keselarasan perencanaan dan pemrograman Direktorat Jenderal SDA</t>
  </si>
  <si>
    <t>Tingkat implementasi penyelenggaraan SAKIP Direktorat Jenderal SDA</t>
  </si>
  <si>
    <t>Tingkat layanan teknis sumber daya air</t>
  </si>
  <si>
    <t>Tingkat implementasi transformasi digital Direktorat Jenderal SDA</t>
  </si>
  <si>
    <t>Tingkat nilai indikator kinerja pelaksanaan anggaran Direktorat Jenderal SDA</t>
  </si>
  <si>
    <t>SK</t>
  </si>
  <si>
    <t>ISK</t>
  </si>
  <si>
    <t>7686 Pengendalian Lumpur Sidoarjo</t>
  </si>
  <si>
    <t>Meningkatnya ketahanan wilayah area yang terdampak lumpur Sidoarjo</t>
  </si>
  <si>
    <t>Jumlah volume luapan lumpur yang dialirkan ke Kali Porong</t>
  </si>
  <si>
    <t>Panjang infrastruktur pengendalian lumpur Sidoarjo yang dibangun/ditingkatkan</t>
  </si>
  <si>
    <t>Panjang jaringan infrastruktur pengendali dampak semburan yang dibangun/ditingkatkan</t>
  </si>
  <si>
    <t>Panjang jaringan infrastruktur pengendali dampak semburan yang dioperasi dan dipelihara</t>
  </si>
  <si>
    <t>Luas kawasan sekitar tampungan lumpur Sidoarjo yang ditata, dimanfaatkan, dan/atau dikelola</t>
  </si>
  <si>
    <t>Jumlah dukungan teknis bidang pengelolaan lumpur Sidoarjo</t>
  </si>
  <si>
    <t>Meningkatnya pembinaan untuk peningkatan ketahanan wilayah area yang terdampak lumpur Sidoarjo</t>
  </si>
  <si>
    <t>Tingkat kinerja layanan pembinaan pengendalian lumpur Sidoarjo</t>
  </si>
  <si>
    <t>Mentransformasi tata kelola pembinaan pengendalian lumpur Sidoarjo</t>
  </si>
  <si>
    <t>Tingkat Kepatuhan Intern Unit Kerja</t>
  </si>
  <si>
    <t>Tingkat nilai indikator kinerja pelaksanaan anggaran Unit Kerja</t>
  </si>
  <si>
    <t>Tingkat implementasi penyelenggaraan SAKIP Unit Kerja</t>
  </si>
  <si>
    <t>Tingkat implementasi transformasi digital Unit Kerja</t>
  </si>
  <si>
    <t>7687 Layanan Kesekretariatan Dewan Sumber Daya Air Nasional (DSDAN)</t>
  </si>
  <si>
    <t>Meningkatnya layanan kesekretariatan Dewan SDA Nasional (DSDAN)</t>
  </si>
  <si>
    <t>Jumlah layanan administrasi dan teknis operasional DSDAN</t>
  </si>
  <si>
    <t>Mentransformasi tata kelola Kesekretariatan Dewan Sumber Daya Air Nasional (DSDAN)</t>
  </si>
  <si>
    <t>Tingkat indikator kinerja pelaksanaan anggaran Unit Kerja</t>
  </si>
  <si>
    <t>7688 Perencanaan, Pemrograman, Penganggaran, dan Evaluasi</t>
  </si>
  <si>
    <t>Mentransformasi tata kelola sistem dan strategi pengelolaan SDA</t>
  </si>
  <si>
    <t>Tingkat fasilitasi program pengelolaan SDA jangka panjang</t>
  </si>
  <si>
    <t>Jumlah dokumen pola dan rencana yang ditetapkan/direvisi</t>
  </si>
  <si>
    <t>Tingkat implementasi RPSDA WS Kewenangan Pusat</t>
  </si>
  <si>
    <t>Tingkat pembinaan dan penyelarasan perencanaan, pemrograman, penganggaran bidang sumber daya Air</t>
  </si>
  <si>
    <t>Tingkat layanan kerja sama luar negeri yang efektif bidang sumber daya air</t>
  </si>
  <si>
    <t>Tingkat pelaksanaan program dan anggaran UPT di Direktorat Jenderal SDA</t>
  </si>
  <si>
    <t>Tingkat pembinaan pemantauan dan evaluasi</t>
  </si>
  <si>
    <t>Tingkat penyelenggaraan SAKIP pada Entitas di Direktorat Jenderal SDA</t>
  </si>
  <si>
    <t>Tingkat penyelenggaraan SAKIP pada Entitas di BBWS/BWS</t>
  </si>
  <si>
    <t>Tingkat pelaksanaan pemantauan dan evaluasi pada BBWS/BWS</t>
  </si>
  <si>
    <t>Meningkatnya layanan pengadaan tanah infrastruktur sumber daya air</t>
  </si>
  <si>
    <t>Tingkat layanan pembinaan pengadaan tanah infrastruktur sumber daya air</t>
  </si>
  <si>
    <t>Jumlah luas pengadaan tanah infrastruktur sumber daya air</t>
  </si>
  <si>
    <t>7689 Kepatuhan Internal Direktorat Jenderal Sumber Daya Air</t>
  </si>
  <si>
    <t>Meningkatnya maturitas kepatuhan intern</t>
  </si>
  <si>
    <t>Tingkat Pembinaan dan Pengembangan Kepatuhan Intern</t>
  </si>
  <si>
    <t>Tingkat Pengendalian Kepatuhan Intern</t>
  </si>
  <si>
    <t>Tingkat Pemantauan Kepatuhan Intern</t>
  </si>
  <si>
    <t>Tingkat Kepatuhan Intern UPT</t>
  </si>
  <si>
    <t>Tingkat Kepatuhan Intern Satuan Kerja</t>
  </si>
  <si>
    <t>Tingkat Indikator Kinerja Pelaksanaan Anggaran Unit Kerja</t>
  </si>
  <si>
    <t>Tingkat Implementasi Penyelenggaraan SAKIP Unit Kerja</t>
  </si>
  <si>
    <t>Tingkat Implementasi Transformasi Digital Unit Kerja</t>
  </si>
  <si>
    <t>7690 Layanan Teknis SDA</t>
  </si>
  <si>
    <t>Meningkatnya kesiapan teknis dalam rangka meningkatkan pasokan air berkelanjutan dan produktivitas air serta ketahanan metropolitan dan wilayah sungai terhadap potensi risiko daya rusak air</t>
  </si>
  <si>
    <t>Tingkat layanan sistem informasi sumber daya air (SISDA) Direktorat Jenderal Sumber Daya Air dan layanan hidrologi untuk sistem informasi hidrologi, hidroklimatologi, dan hidrogeologi (SIH3)</t>
  </si>
  <si>
    <t>Jumlah wilayah sungai dengan pengembangan sistem informasi sumber daya air</t>
  </si>
  <si>
    <t>Jumlah dokumen perhitungan nilai indeks ketahanan air wilayah sungai (IKtA-WS)</t>
  </si>
  <si>
    <t>Tingkat kesiapan teknis</t>
  </si>
  <si>
    <t>Jumlah dokumen perhitungan neraca air wilayah sungai</t>
  </si>
  <si>
    <t>Meningkatnya pembinaan kesiapan dan layanan teknis infrastruktur SDA dalam rangka meningkatkan pasokan air berkelanjutan dan produktivitas air serta ketahanan metropolitan dan wilayah sungai terhadap potensi risiko daya rusak air</t>
  </si>
  <si>
    <t>Tingkat layanan pengelolaan jabatan fungsional dan pengembangan profesi</t>
  </si>
  <si>
    <t>Tingkat pembinaan layanan teknis sumber daya air</t>
  </si>
  <si>
    <t>Tingkat pembinaan sistem informasi sumber daya air (SISDA) direktorat jenderal sumber daya air dan layanan hidrologi untuk sistem informasi hidrologi, hidroklimatologi, dan hidrogeologi (SIH3)</t>
  </si>
  <si>
    <t>Tingkat penerapan NSPK, teknologi dan peralatan infrastruktur sumber daya air</t>
  </si>
  <si>
    <t>Tingkat keandalan infrastruktur sumber daya air</t>
  </si>
  <si>
    <t>Jumlah wilayah sungai Kewenangan Pusat dengan neraca air tidak dalam kondisi kritis/defisit</t>
  </si>
  <si>
    <t>Tingkat pembinaan implementasi transformasi digital</t>
  </si>
  <si>
    <t>Meningkatnya layanan teknis infrastruktur SDA</t>
  </si>
  <si>
    <t>Persentase layanan teknis Balai Teknik/Balai</t>
  </si>
  <si>
    <t>Jumlah dokumen pengembangan, perekayasaan, dan penerapan teknologi Balai Teknik/Balai</t>
  </si>
  <si>
    <t>Indeks kepuasan masyarakat (IKM) terhadap layanan Balai</t>
  </si>
  <si>
    <t>Jumlah dokumen perhitungan indeks ketahanan air nasional (IKtA-N)</t>
  </si>
  <si>
    <t>Jumlah dokumen perhitungan neraca air nasional</t>
  </si>
  <si>
    <t>Mentransformasi tata kelola pembinaan layanan teknis SDA</t>
  </si>
  <si>
    <t>Tingkat indikator kinerja pelaksanaan anggaran Balai Teknik</t>
  </si>
  <si>
    <t>Tingkat implementasi penyelenggaraan SAKIP Balai Teknik</t>
  </si>
  <si>
    <t>Tingkat implementasi transformasi digital Balai Teknik</t>
  </si>
  <si>
    <t>7691 Pengembangan Jaringan Irigasi Permukaan, Rawa, dan Non-Padi</t>
  </si>
  <si>
    <t>Meningkatnya pasokan air irigasi berkelanjutan dan produktivitas penggunaan air irigasi</t>
  </si>
  <si>
    <t>Jumlah luas layanan irigasi yang ketersediaan airnya dijamin oleh waduk</t>
  </si>
  <si>
    <t>Jumlah luas layanan irigasi yang dibangun untuk pertanian multikomoditas</t>
  </si>
  <si>
    <t>Jumlah luas layanan irigasi yang direhabilitasi dan ditingkatkan</t>
  </si>
  <si>
    <t>Jumlah dukungan teknis bidang irigasi dan rawa</t>
  </si>
  <si>
    <t>Meningkatnya pembinaan layanan irigasi dalam rangka peningkatan pasokan air irigasi berkelanjutan dan produktivitas penggunaan air irigasi</t>
  </si>
  <si>
    <t>Tingkat kinerja layanan pembinaan irigasi dan rawa</t>
  </si>
  <si>
    <t>Mentransformasi tata kelola pembinaan irigasi dan rawa</t>
  </si>
  <si>
    <t>7692 Pengendalian Banjir, Lahar, Pengelolaan Drainase Utama Perkotaan, dan Pengaman Pantai</t>
  </si>
  <si>
    <t>Meningkatnya ketahanan metropolitan dan wilayah sungai terhadap potensi risiko daya rusak air</t>
  </si>
  <si>
    <t>Luas kawasan yang terlindungi dari risiko daya rusak air</t>
  </si>
  <si>
    <t>Kapasitas prasarana pengendali lahar dan sedimen</t>
  </si>
  <si>
    <t>Jumlah kawasan yang menerapkan pendekatan terpadu struktural dan non-struktural</t>
  </si>
  <si>
    <t>Jumlah dukungan teknis bidang sungai dan pantai</t>
  </si>
  <si>
    <t>Meningkatnya ketahanan terhadap risiko daya rusak air di Pesisir Utara Jawa</t>
  </si>
  <si>
    <t>Luas kawasan yang terlindungi dari risiko daya rusak air di Pesisir Utara Jawa</t>
  </si>
  <si>
    <t>Jumlah kawasan yang menerapkan pendekatan terpadu struktural dan non-struktural di Pesisir Utara Jawa</t>
  </si>
  <si>
    <t>Meningkatnya pembinaan pengelolaan risiko daya rusak air dalam rangka peningkatan ketahanan metropolitan dan wilayah sungai</t>
  </si>
  <si>
    <t>Tingkat kinerja layanan pembinaan sungai dan pantai</t>
  </si>
  <si>
    <t>Mentransformasi tata kelola pembinaan bidang sungai dan pantai</t>
  </si>
  <si>
    <t>TEMATIK</t>
  </si>
  <si>
    <t>PKPN</t>
  </si>
  <si>
    <t>Adaptasi Perubahan Iklim</t>
  </si>
  <si>
    <t>Mitigasi Perubahan Iklim</t>
  </si>
  <si>
    <t>Anggaran Infrastruktur</t>
  </si>
  <si>
    <t>Pengarusutamaan Gender</t>
  </si>
  <si>
    <t>Swasembada Air</t>
  </si>
  <si>
    <t>Rehabilitasi dan Rekonstruksi Pascabencana Sumatera</t>
  </si>
  <si>
    <t>Giant Sea Wall</t>
  </si>
  <si>
    <t>7693 Pengembangan Bendungan, Danau, dan Bangunan Penampung Air Lainnya</t>
  </si>
  <si>
    <t>Meningkatnya kapasitas tampungan air yang dapat dimanfaatkan</t>
  </si>
  <si>
    <t>Jumlah bendungan yang selesai dibangun</t>
  </si>
  <si>
    <t>Jumlah bendungan yang direhabilitasi</t>
  </si>
  <si>
    <t>Jumlah tampungan air alami yang direvitalisasi</t>
  </si>
  <si>
    <t>Rasio potensi reduksi banjir oleh bendungan</t>
  </si>
  <si>
    <t>Jumlah dukungan teknis bidang bendungan dan danau</t>
  </si>
  <si>
    <t>Meningkatnya pembinaan pembangunan dan pengelolaan infrastruktur tampungan sumber air dalam rangka kapasitas tampungan air yang dapat dimanfaatkan</t>
  </si>
  <si>
    <t>Tingkat kinerja layanan pembinaan bendungan dan danau</t>
  </si>
  <si>
    <t>Meningkatnya layanan teknis pembangunan dan pengelolaan infrastruktur tampungan sumber air</t>
  </si>
  <si>
    <t>Tingkat layanan teknis Balai Teknik Bendungan</t>
  </si>
  <si>
    <t>Indeks kepuasan masyarakat (IKM) terhadap layanan Balai Teknik Bendungan</t>
  </si>
  <si>
    <t>Mentransformasi tata kelola pembinaan bidang bendungan dan danau</t>
  </si>
  <si>
    <t>7694 Pengembangan Jaringan Air Tanah dan Air Baku</t>
  </si>
  <si>
    <t>Meningkatnya pasokan air baku berkelanjutan dan produktivitas penggunaan air baku</t>
  </si>
  <si>
    <t>Jumlah embung dan tampungan air lainnya yang dibangun</t>
  </si>
  <si>
    <t>Jumlah embung dan tampungan air lainnya yang direhabilitasi</t>
  </si>
  <si>
    <t>Kapasitas prasarana air baku yang dibangun</t>
  </si>
  <si>
    <t>Kapasitas prasarana air baku yang direhabilitasi</t>
  </si>
  <si>
    <t>Rasio kapasitas air baku bersumber dari bendungan terhadap potensinya</t>
  </si>
  <si>
    <t>Jumlah debit air tanah yang dimanfaatkan untuk lahan multikomoditas yang dibangun</t>
  </si>
  <si>
    <t>Jumlah debit air tanah yang dimanfaatkan untuk lahan multikomoditas yang direhabilitasi</t>
  </si>
  <si>
    <t>Jumlah dukungan teknis bidang air tanah dan air baku</t>
  </si>
  <si>
    <t>Meningkatnya penyediaan pasokan air di Pesisir Utara Jawa dalam rangka meningkatkan ketahanan terhadap daya rusak air di Pesisir Utara Jawa</t>
  </si>
  <si>
    <t>Kapasitas prasarana air baku yang dibangun di Pesisir Utara Jawa</t>
  </si>
  <si>
    <t>Meningkatnya pembinaan layanan air baku dan air tanah dalam rangka peningkatan pasokan air baku berkelanjutan dan produktivitas penggunaan air baku</t>
  </si>
  <si>
    <t>Tingkat kinerja layanan pembinaan air tanah dan air baku</t>
  </si>
  <si>
    <t>Mentransformasi tata kelola pembinaan bidang air tanah dan air baku</t>
  </si>
  <si>
    <t>7695 Operasi dan Pemeliharaan Sarana Prasarana SDA serta Penanggulangan Darurat Akibat Bencana</t>
  </si>
  <si>
    <t>Terjaganya layanan infrastruktur SDA dalam rangka meningkatkan dan menjaga kapasitas tampungan air, pasokan air berkelanjutan dan produktivitas air serta untuk ketahanan metropolitan dan wilayah sungai terhadap potensi risiko daya rusak air</t>
  </si>
  <si>
    <t>Jumlah kumulatif tampungan air yang dikelola</t>
  </si>
  <si>
    <t>Jumlah unit pengelola yang dibentuk/dioperasikan</t>
  </si>
  <si>
    <t>Jumlah sempadan yang ditetapkan</t>
  </si>
  <si>
    <t>Jumlah kapasitas prasarana air baku yang dikelola</t>
  </si>
  <si>
    <t>Luas layanan irigasi yang dikelola</t>
  </si>
  <si>
    <t>Jumlah tenaga kerja yang berpartisipasi dalam padat karya</t>
  </si>
  <si>
    <t>Volume layanan air untuk meningkatkan produktivitas irigasi</t>
  </si>
  <si>
    <t>Jumlah infrastruktur pengendali daya rusak air yang dikelola</t>
  </si>
  <si>
    <t>Panjang jaringan infrastruktur pengendali daya rusak air yang dioperasi dan dipelihara</t>
  </si>
  <si>
    <t>Jumlah sungai yang dipelihara</t>
  </si>
  <si>
    <t>Jumlah layanan penanganan darurat akibat bencana</t>
  </si>
  <si>
    <t>Meningkatnya pembinaan, layanan perizinan, dan tata kelola operasi dan pemeliharaan</t>
  </si>
  <si>
    <t>Tingkat kinerja layanan pembinaan operasi dan pemeliharaan</t>
  </si>
  <si>
    <t>Tingkat kinerja layanan pembinaan tata kelola operasi dan pemeliharaan</t>
  </si>
  <si>
    <t>Jumlah usulan perizinan yang diproses</t>
  </si>
  <si>
    <t>Jumlah fasilitasi penanganan tanggap darurat bencana</t>
  </si>
  <si>
    <t>Meningkatnya tata kelola operasi dan pemeliharaan</t>
  </si>
  <si>
    <t>Jumlah rekomendasi teknis yang disusun</t>
  </si>
  <si>
    <t>Jumlah dokumen perhitungan indeks river basin organization performance benchmarking</t>
  </si>
  <si>
    <t>Jumlah kelompok masyarakat dengan penguatan kelembagaan yang difasilitasi</t>
  </si>
  <si>
    <t>Jumlah wadah koordinasi pengelolaan sda wilayah sungai kewenangan pusat yang difasilitasi</t>
  </si>
  <si>
    <t>Jumlah dokumen alokasi air yang disusun</t>
  </si>
  <si>
    <t>Mentransformasi tata kelola pembinaan bidang operasi dan pemeliharaan</t>
  </si>
  <si>
    <t>7755 Dukungan Manajemen Ditjen Sumber Daya Air</t>
  </si>
  <si>
    <t>Meningkatnya Layanan Dukungan Manajemen dan Pelaksanaan Tugas Teknis Lainnya Unit Kerja dan Unit Pelaksana Teknis</t>
  </si>
  <si>
    <t>Tingkat Kualitas Dukungan Manajemen Sekretariat Direktorat Jenderal Sumber Daya Air</t>
  </si>
  <si>
    <t>Tingkat Kualitas Dukungan Manajemen Pusat Pengendalian Lumpur Sidoarjo</t>
  </si>
  <si>
    <t>Tingkat Kualitas Dukungan Manajemen Sekretariat Dewan Sumber Daya Air Nasional</t>
  </si>
  <si>
    <t>Tingkat Kualitas Dukungan Manajemen Direktorat Sistem dan Strategi Pengelolaan Sumber Daya Air</t>
  </si>
  <si>
    <t>Tingkat Kualitas Dukungan Manajemen Direktorat Kepatuhan Intern</t>
  </si>
  <si>
    <t>Tingkat Kualitas Dukungan Manajemen Direktorat Bina Teknik</t>
  </si>
  <si>
    <t>Tingkat Kualitas Dukungan Manajemen Direktorat Irigasi dan Rawa</t>
  </si>
  <si>
    <t>Tingkat Kualitas Dukungan Manajemen Direktorat Sungai dan Pantai</t>
  </si>
  <si>
    <t>Tingkat Kualitas Dukungan Manajemen Direktorat Bendungan dan Danau</t>
  </si>
  <si>
    <t>Tingkat Kualitas Dukungan Manajemen Direktorat Air tanah dan Air Baku</t>
  </si>
  <si>
    <t>Tingkat Kualitas Dukungan Manajemen Direktorat Bina Operasi dan Pemeliharaan</t>
  </si>
  <si>
    <t>Tingkat Kualitas Dukungan Manajemen Unit Pelaksana Teknis</t>
  </si>
  <si>
    <t>Dukungan Manajemen</t>
  </si>
  <si>
    <t>Meningkatnya Dukungan Manajemen dan Tugas Teknis Lainnya</t>
  </si>
  <si>
    <t>Tingkat Kualitas Dukungan Manajemen Kementerian PU dan Tugas Teknis Lainnya (DJSDA)</t>
  </si>
  <si>
    <t>Balai</t>
  </si>
  <si>
    <t>Nama Proyek</t>
  </si>
  <si>
    <t>Nama Paket 1</t>
  </si>
  <si>
    <t>KdProgram.KdKegiatan.KdKRO.KDRO</t>
  </si>
  <si>
    <t>Total</t>
  </si>
  <si>
    <t>Icon</t>
  </si>
  <si>
    <t>Nama Paket 2</t>
  </si>
  <si>
    <t>310 Pelaksanaan layanan Perizinan dan Rekomendasi Teknis</t>
  </si>
  <si>
    <t>205 Pembentukan Unit/Komunitas/Lembaga Pengelola</t>
  </si>
  <si>
    <t>208 Fasilitasi</t>
  </si>
  <si>
    <t>209 Pembinaan Unit/Komunitas/Lembaga Pengelola</t>
  </si>
  <si>
    <t>210 Fasilitasi Tanggap Darurat Bencana</t>
  </si>
  <si>
    <t>203 Operasionalisasi Unit Pengelola</t>
  </si>
  <si>
    <t>211 Pengadaan Alat Berat</t>
  </si>
  <si>
    <t>212 Operasi dan Pemeliharaan Peralatan</t>
  </si>
  <si>
    <t>206 Kajian Penetapan Garis Sempadan</t>
  </si>
  <si>
    <t>207 Fasilitasi Penetapan Garis Sempadan</t>
  </si>
  <si>
    <t>213 Pelaksanaan Padat Karya</t>
  </si>
  <si>
    <t>307 Pelaksanaan Layanan Pengelolaan Internal</t>
  </si>
  <si>
    <t>314 Pengadaan Prasarana atau Bangunan</t>
  </si>
  <si>
    <t>313 Pengadaan Sarana atau Peralatan</t>
  </si>
  <si>
    <t>001 Gaji dan Tunjangan</t>
  </si>
  <si>
    <t>002 Operasional dan Pemeliharaan Kantor</t>
  </si>
  <si>
    <t>1. Pola dan Rencana PSDA</t>
  </si>
  <si>
    <t>2. Kajian Balai / Masterplan</t>
  </si>
  <si>
    <t>Score</t>
  </si>
  <si>
    <t>Evaluasi menggunakan metode multi criteria analysis</t>
  </si>
  <si>
    <t>bobot</t>
  </si>
  <si>
    <t>3. Renstra UPT/UNOR/KL</t>
  </si>
  <si>
    <t>Kelengkapan proyek</t>
  </si>
  <si>
    <t>4. Direktif Dirjen SDA</t>
  </si>
  <si>
    <t>7. Direktif Menteri PU</t>
  </si>
  <si>
    <t>8. Direktif Presiden / Program Prioritas Presiden</t>
  </si>
  <si>
    <t>6. Direktif DPR RI</t>
  </si>
  <si>
    <t>5. Usulan Pemerintah Daerah / DPRD</t>
  </si>
  <si>
    <t>Maksimum score</t>
  </si>
  <si>
    <t>ada</t>
  </si>
  <si>
    <t>Keterangan</t>
  </si>
  <si>
    <t>Kategori proyek</t>
  </si>
  <si>
    <t>Ha</t>
  </si>
  <si>
    <t>Volume RO</t>
  </si>
  <si>
    <t>Lokasi RO</t>
  </si>
  <si>
    <t>(decimal)</t>
  </si>
  <si>
    <t>Indikator RO</t>
  </si>
  <si>
    <t>Satuan Indikator RO</t>
  </si>
  <si>
    <t>1. Tingkat Kinerja Layanan Pembinaan Pengendalian Lumpur Sidoarjo</t>
  </si>
  <si>
    <t>%</t>
  </si>
  <si>
    <t>Nilai</t>
  </si>
  <si>
    <t>1. Tingkat Pelaksanaan Kepatuhan Intern dan Manajemen Risiko Unit Kerja</t>
  </si>
  <si>
    <t>2. Nilai Indikator Kinerja Pelaksanaan Anggaran Unit Kerja</t>
  </si>
  <si>
    <t>3. Nilai SAKIP Unit Kerja</t>
  </si>
  <si>
    <t>4. Tingkat implementasi transformasi digital Unit Kerja</t>
  </si>
  <si>
    <t>1. Luas Kawasan Sekitar Tampungan Lumpur Sidoarjo yang Ditata, Dimanfaatkan, dan/atau Dikelola</t>
  </si>
  <si>
    <t>(referensi provinsi)/Geospatial</t>
  </si>
  <si>
    <t>1. Jumlah Dokumen Teknis Bidang Pengendalian Lumpur Sidoarjo</t>
  </si>
  <si>
    <t>1. Panjang Infrastruktur Pengendalian Lumpur Sidoarjo yang Dibangun/Ditingkatkan</t>
  </si>
  <si>
    <t>1. Panjang Jaringan Infrastruktur Pengendali Dampak Semburan yang Dibangun/Ditingkatkan</t>
  </si>
  <si>
    <t>Juta m3 Slurry</t>
  </si>
  <si>
    <t>1. Jumlah Volume Luapan Lumpur yang Dialirkan ke Kali Porong</t>
  </si>
  <si>
    <t>1. Panjang Jaringan Infrastruktur Pengendali Dampak Semburan yang Dioperasi dan Dipelihara</t>
  </si>
  <si>
    <t>Satuan Komponen</t>
  </si>
  <si>
    <t>Lokasi</t>
  </si>
  <si>
    <t>Dokmen</t>
  </si>
  <si>
    <t xml:space="preserve">1. Jumlah Layanan Administrasi dan Teknis Operasional DSDAN yang Dilaksanakan </t>
  </si>
  <si>
    <t>Sekolah Rakyat</t>
  </si>
  <si>
    <t>Perbatasan Negara</t>
  </si>
  <si>
    <t>Daerah Miskin Ekstrim</t>
  </si>
  <si>
    <t>Penanggulangan Terorisme</t>
  </si>
  <si>
    <t>Kawasan Wisata Nasional</t>
  </si>
  <si>
    <t>Kawasan Industri Nasional</t>
  </si>
  <si>
    <t>Tagging Dinamis</t>
  </si>
  <si>
    <t>criteria 5: Kinerja proyek</t>
  </si>
  <si>
    <t>Bobot</t>
  </si>
  <si>
    <t>criteria 2 : Kesiapan teknis</t>
  </si>
  <si>
    <t>criteria 4: Valuasi proyek</t>
  </si>
  <si>
    <t>Tematik</t>
  </si>
  <si>
    <t>Kinerja proyek</t>
  </si>
  <si>
    <t>Total bobot</t>
  </si>
  <si>
    <t>criteria 3: Tematik (tagging dinamis)</t>
  </si>
  <si>
    <t>criteria 1 : Dasar Pelaksanaan</t>
  </si>
  <si>
    <t>Justifikasi proyek (field box)</t>
  </si>
  <si>
    <t>TAB 1</t>
  </si>
  <si>
    <t>TAB 2</t>
  </si>
  <si>
    <t>Tidak ada</t>
  </si>
  <si>
    <t>* seluruh jumlah kriteria dibuat agar bisa diubah dalam master data</t>
  </si>
  <si>
    <t>Tematik (drop down dan field box untuk masing-masing kriteria)</t>
  </si>
  <si>
    <t>opsi</t>
  </si>
  <si>
    <t>rencana</t>
  </si>
  <si>
    <t>tidak perlu</t>
  </si>
  <si>
    <t>Pusat</t>
  </si>
  <si>
    <t>Daerah</t>
  </si>
  <si>
    <t>Ada</t>
  </si>
  <si>
    <t>jumlah kriteria</t>
  </si>
  <si>
    <t>score</t>
  </si>
  <si>
    <t>Kesiapan teknis (drop down dan field box untuk masing-masing kriteria)*</t>
  </si>
  <si>
    <t>TAB 3</t>
  </si>
  <si>
    <t>TAB 4</t>
  </si>
  <si>
    <t>Kewenangan proyek (dropdown)</t>
  </si>
  <si>
    <t>Basic desain/SID/DED (dropdown + fieldbox)</t>
  </si>
  <si>
    <t>Dokumen Lingkungan  (dropdown + fieldbox)</t>
  </si>
  <si>
    <t>LARAP  (dropdown + fieldbox)</t>
  </si>
  <si>
    <t>Kebutuhan lahan (dropdown + fieldbox)</t>
  </si>
  <si>
    <t>Studi Kelayakan (dropdown + fieldbox)</t>
  </si>
  <si>
    <t>Prioritas Nasional (PN) (dropdown)</t>
  </si>
  <si>
    <t>Program Prioritas (PP) (dropdown)</t>
  </si>
  <si>
    <t>Kegiatan Prioritas (KP) (dropdown)</t>
  </si>
  <si>
    <t>RENSTRA</t>
  </si>
  <si>
    <t>Sasaran Program (SP) (dropdown)</t>
  </si>
  <si>
    <t>Indikator Sasaran Program (ISP) (dropdown)</t>
  </si>
  <si>
    <t>Identitas Proyek</t>
  </si>
  <si>
    <t>Periode proyek (dropdown)</t>
  </si>
  <si>
    <t>Wilayah Sungai (dropdown)</t>
  </si>
  <si>
    <t>Kegiatan (dropdown)</t>
  </si>
  <si>
    <t>Nama Proyek (fieldbox)</t>
  </si>
  <si>
    <t>Sumber usulan Proyek (check box)</t>
  </si>
  <si>
    <t>Keterangan (fieldbox)</t>
  </si>
  <si>
    <t>Dasar pelaksanaan (check box + fieldbox)*</t>
  </si>
  <si>
    <t>Sasaran Kegiatan (SK) (dropdown)</t>
  </si>
  <si>
    <t>Indikator Sasaran Kegiatan (ISK) (dropdown)</t>
  </si>
  <si>
    <t>RENJA</t>
  </si>
  <si>
    <t>PKPN (dropdown)</t>
  </si>
  <si>
    <t>SIPRO (checkbox)</t>
  </si>
  <si>
    <t>FKW</t>
  </si>
  <si>
    <t>FKB</t>
  </si>
  <si>
    <t>MPA</t>
  </si>
  <si>
    <t>Kawasan swasembada pangan, energi, dan air nasional (KSPEAN)</t>
  </si>
  <si>
    <t>Tematik (checkbox)</t>
  </si>
  <si>
    <t>Daerah irigasi waduk</t>
  </si>
  <si>
    <t>Modernisasi irigasi</t>
  </si>
  <si>
    <t>Kawasan lumbung pangan terintegrasi</t>
  </si>
  <si>
    <t>Kawasan rawan pangan</t>
  </si>
  <si>
    <t>* seluruh field kriteria dibuat agar bisa diubah dalam master data</t>
  </si>
  <si>
    <t>* seluruh kriteria dibuat agar bisa diubah dalam master data</t>
  </si>
  <si>
    <t>Valuasi proyek (field box)</t>
  </si>
  <si>
    <t>Informasi proyek</t>
  </si>
  <si>
    <t>(total anggaran seluruh tahun dari sum paket)</t>
  </si>
  <si>
    <t>(total volume RO/output seluruh tahun dari sum paket)</t>
  </si>
  <si>
    <t>(total volume indikator RO/outcome 1 seluruh tahun dari sum paket)</t>
  </si>
  <si>
    <t>Valuasi proyek (fieldbox</t>
  </si>
  <si>
    <t>1. Rasio anggaran terhadap output &lt; standar</t>
  </si>
  <si>
    <t>2. Rasio anggaran terhadap outcome &lt; standar</t>
  </si>
  <si>
    <t>3. Rasio Outcome terhadap Output &lt; standar</t>
  </si>
  <si>
    <t>Total anggaran (A) (fieldbox)</t>
  </si>
  <si>
    <t>Total volume RO/Output (B) (fieldbox)</t>
  </si>
  <si>
    <t>Total volume indikator RO/Outcome 1 (C ) (fieldbox)</t>
  </si>
  <si>
    <t>(A)/(B) (decimal)</t>
  </si>
  <si>
    <t>(A)/(C ) (decimal)</t>
  </si>
  <si>
    <t>(C )/(B) (decimal)</t>
  </si>
  <si>
    <t>Pembangunan jaringan (masuk kriteria)</t>
  </si>
  <si>
    <t>Pembangunan bendung (tidak masuk kriteria)</t>
  </si>
  <si>
    <t>Rehabilitasi bendung (tidak masuk kriteria)</t>
  </si>
  <si>
    <t>Pembangunan bangunan pelengkap (tidak masuk kriteria)</t>
  </si>
  <si>
    <t>Rehabilitasi bangunan pelengkap (tidak masuk kriteria)</t>
  </si>
  <si>
    <t>Dukungan teknis (tidak masuk kriteria)</t>
  </si>
  <si>
    <t>Proyek (P)</t>
  </si>
  <si>
    <t>Standar (S)</t>
  </si>
  <si>
    <t>ok jika P&lt;S</t>
  </si>
  <si>
    <r>
      <t>Khusus kategori proyek "</t>
    </r>
    <r>
      <rPr>
        <b/>
        <sz val="11"/>
        <color theme="1"/>
        <rFont val="Aptos Narrow"/>
        <family val="2"/>
        <scheme val="minor"/>
      </rPr>
      <t>pembangunan jaringan</t>
    </r>
    <r>
      <rPr>
        <sz val="11"/>
        <color theme="1"/>
        <rFont val="Aptos Narrow"/>
        <family val="2"/>
        <scheme val="minor"/>
      </rPr>
      <t>"</t>
    </r>
  </si>
  <si>
    <t>Valuasi</t>
  </si>
  <si>
    <t>TAB 6</t>
  </si>
  <si>
    <t>Kinerja proyek (check box + Field box)</t>
  </si>
  <si>
    <t>(fieldbox)</t>
  </si>
  <si>
    <t>nilai</t>
  </si>
  <si>
    <t>2. Proyek sinkron dengan pengembangan irigasi tersier dan cetak sawah</t>
  </si>
  <si>
    <t>3. Proyek bersifat multiguna dan multisektor</t>
  </si>
  <si>
    <t>Rehabilitasi/Peningkatan jaringan (masuk kriteria)</t>
  </si>
  <si>
    <r>
      <t>Khusus kategori proyek "</t>
    </r>
    <r>
      <rPr>
        <b/>
        <sz val="11"/>
        <color theme="1"/>
        <rFont val="Aptos Narrow"/>
        <family val="2"/>
        <scheme val="minor"/>
      </rPr>
      <t>rehabilitasi/peningkatan jaringan</t>
    </r>
    <r>
      <rPr>
        <sz val="11"/>
        <color theme="1"/>
        <rFont val="Aptos Narrow"/>
        <family val="2"/>
        <scheme val="minor"/>
      </rPr>
      <t>"</t>
    </r>
  </si>
  <si>
    <t>4. Proyek memiliki sistem efisiensi penggunaan air irigasi</t>
  </si>
  <si>
    <t>5. Lokasi proyek memiliki sistem kelembagaan yang matang</t>
  </si>
  <si>
    <t>1. Proyek menambah luas baku sawah (LBS) beririgasi</t>
  </si>
  <si>
    <t>1. Proyek menaikan nilai IKSI lebih dari 30%</t>
  </si>
  <si>
    <t>2. Proyek menaikkan indeks pertanaman (IP) lebih dari 50%</t>
  </si>
  <si>
    <t>Pemaketan</t>
  </si>
  <si>
    <t>kewenangan pemaketan (check box ya dan tidak)</t>
  </si>
  <si>
    <t>jika tidak --&gt; hanya akun pembina dan admin yang bisa membuat dan mengubah paket</t>
  </si>
  <si>
    <t>jika iya --&gt; semua akun bisa membuat dan mengubah paket</t>
  </si>
  <si>
    <t>Apakah pembina teknis memperbolehkan Balai untuk membuat dan mengubah paket?</t>
  </si>
  <si>
    <t>Saldo anggaran proyek (field box)</t>
  </si>
  <si>
    <t>Saldo volume indikator RO (dropdown + field box) --&gt; opsional</t>
  </si>
  <si>
    <t>Saldo volume RO (dropdown + field box) --&gt; opsional</t>
  </si>
  <si>
    <t>dropdown refer ke kode kegiatan</t>
  </si>
  <si>
    <t>Nama Paket (field box)</t>
  </si>
  <si>
    <t>KRO (dropdown)</t>
  </si>
  <si>
    <t>RO (dropdown)</t>
  </si>
  <si>
    <t>Lokasi RO (dropdown)</t>
  </si>
  <si>
    <t>Volume RO (Field)</t>
  </si>
  <si>
    <t>Satuan RO (fixed referensi)</t>
  </si>
  <si>
    <t>Indikator RO (dropdown)</t>
  </si>
  <si>
    <t>Volume Indikator RO (Field)</t>
  </si>
  <si>
    <t>Indikator RO … tambah</t>
  </si>
  <si>
    <t>Volume Indikator RO … tambah</t>
  </si>
  <si>
    <t>Alokasi Paket (dibuat per sumber dana)</t>
  </si>
  <si>
    <t>RM</t>
  </si>
  <si>
    <t>PLN</t>
  </si>
  <si>
    <t>RMP</t>
  </si>
  <si>
    <t>SBSN</t>
  </si>
  <si>
    <t>KPBU</t>
  </si>
  <si>
    <t>Tahun pelaksanaan (dropdown)</t>
  </si>
  <si>
    <t>Kategori:</t>
  </si>
  <si>
    <t>Referensi</t>
  </si>
  <si>
    <t>RSPP</t>
  </si>
  <si>
    <t>Satuan indikator RO (fixed referensi)</t>
  </si>
  <si>
    <t>periode</t>
  </si>
  <si>
    <t>Lokasi paket (lokasi sama dengan proyek?)</t>
  </si>
  <si>
    <t>jika iya maka disamakan lokasi pada proyek</t>
  </si>
  <si>
    <t>jikta tidak maka mengisi pada peta</t>
  </si>
  <si>
    <t>TAB 7</t>
  </si>
  <si>
    <t>Pemaketan (cek sheet pemaketan)</t>
  </si>
  <si>
    <t>TAB 9</t>
  </si>
  <si>
    <t>Dokumen dan Catatan</t>
  </si>
  <si>
    <t>Upload dokumen</t>
  </si>
  <si>
    <t>Catatan Pembina (fieldbox)</t>
  </si>
  <si>
    <t>Catatan SSPSDA (fieldbox)</t>
  </si>
  <si>
    <t>Lokasi Proyek</t>
  </si>
  <si>
    <t>Evaluasi Proyek</t>
  </si>
  <si>
    <t xml:space="preserve">Skor evaluasi </t>
  </si>
  <si>
    <t>TAB 8</t>
  </si>
  <si>
    <t>Tab 10</t>
  </si>
  <si>
    <t>TAB5</t>
  </si>
  <si>
    <t>(sesuai tab 7)</t>
  </si>
  <si>
    <t>Tagging dinamis (Checkbox + Fieldbox)</t>
  </si>
  <si>
    <t>Komponen (dropdown)</t>
  </si>
  <si>
    <t>KEGIATAN IRIGASI DAN RAWA (7691)</t>
  </si>
  <si>
    <t>ROLE</t>
  </si>
  <si>
    <t>BALAI</t>
  </si>
  <si>
    <t>KEGIATAN</t>
  </si>
  <si>
    <t>ADMIN/SSPSDA</t>
  </si>
  <si>
    <t>SEMUA</t>
  </si>
  <si>
    <t>Unit Kerja (dropdown)</t>
  </si>
  <si>
    <t>balai bengawan solo</t>
  </si>
  <si>
    <t>10 proyek</t>
  </si>
  <si>
    <t>1 proyek</t>
  </si>
  <si>
    <t>2 paket</t>
  </si>
  <si>
    <t xml:space="preserve">2 paket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</si>
</sst>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6" formatCode="0.000"/>
  </numFmts>
  <fonts count="5"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theme="1"/>
      <name val="Segoe UI"/>
      <family val="2"/>
    </font>
    <font>
      <sz val="8"/>
      <color theme="1"/>
      <name val="Segoe UI"/>
      <family val="2"/>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37">
    <xf numFmtId="0" fontId="0" fillId="0" borderId="0" xfId="0"/>
    <xf numFmtId="0" fontId="0" fillId="0" borderId="0" xfId="0" applyAlignment="1">
      <alignment horizontal="center"/>
    </xf>
    <xf numFmtId="0" fontId="0" fillId="2" borderId="0" xfId="0" applyFill="1"/>
    <xf numFmtId="0" fontId="0" fillId="3" borderId="0" xfId="0" applyFill="1"/>
    <xf numFmtId="0" fontId="1"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Fill="1" applyBorder="1" applyAlignment="1">
      <alignment horizontal="left"/>
    </xf>
    <xf numFmtId="9" fontId="0" fillId="0" borderId="0" xfId="1" applyFont="1"/>
    <xf numFmtId="164" fontId="0" fillId="0" borderId="1" xfId="1" applyNumberFormat="1" applyFont="1" applyBorder="1" applyAlignment="1">
      <alignment horizontal="center"/>
    </xf>
    <xf numFmtId="0" fontId="1" fillId="0" borderId="0" xfId="0" applyFont="1"/>
    <xf numFmtId="0" fontId="0" fillId="0" borderId="0" xfId="0" applyAlignment="1">
      <alignment horizontal="center"/>
    </xf>
    <xf numFmtId="9" fontId="0" fillId="0" borderId="0" xfId="0" applyNumberFormat="1"/>
    <xf numFmtId="0" fontId="0" fillId="0" borderId="0" xfId="0" applyFill="1"/>
    <xf numFmtId="9" fontId="0" fillId="0" borderId="0" xfId="1" applyFont="1" applyFill="1"/>
    <xf numFmtId="164" fontId="0" fillId="0" borderId="1" xfId="1" applyNumberFormat="1" applyFont="1" applyFill="1" applyBorder="1" applyAlignment="1">
      <alignment horizontal="center"/>
    </xf>
    <xf numFmtId="0" fontId="1" fillId="0" borderId="0" xfId="0" applyFont="1" applyAlignment="1">
      <alignment wrapText="1"/>
    </xf>
    <xf numFmtId="0" fontId="0" fillId="0" borderId="0" xfId="0" applyAlignment="1">
      <alignment wrapText="1"/>
    </xf>
    <xf numFmtId="0" fontId="0" fillId="0" borderId="1" xfId="0" applyBorder="1" applyAlignment="1">
      <alignment horizontal="center" wrapText="1"/>
    </xf>
    <xf numFmtId="0" fontId="0" fillId="0" borderId="1" xfId="0" applyBorder="1" applyAlignment="1">
      <alignment horizontal="left" wrapText="1"/>
    </xf>
    <xf numFmtId="166" fontId="0" fillId="0" borderId="0" xfId="0" applyNumberFormat="1"/>
    <xf numFmtId="0" fontId="0" fillId="0" borderId="0" xfId="0" applyAlignment="1">
      <alignment horizontal="center"/>
    </xf>
    <xf numFmtId="0" fontId="0" fillId="0" borderId="0" xfId="0" applyAlignment="1">
      <alignment horizontal="center"/>
    </xf>
    <xf numFmtId="0" fontId="0" fillId="0" borderId="0" xfId="0" applyBorder="1" applyAlignment="1">
      <alignment horizontal="center"/>
    </xf>
    <xf numFmtId="164" fontId="0" fillId="0" borderId="0" xfId="1" applyNumberFormat="1" applyFont="1" applyBorder="1" applyAlignment="1">
      <alignment horizontal="center"/>
    </xf>
    <xf numFmtId="0" fontId="1" fillId="0" borderId="0" xfId="0" applyFont="1" applyAlignment="1"/>
    <xf numFmtId="0" fontId="0" fillId="0" borderId="0" xfId="0" applyAlignment="1"/>
    <xf numFmtId="0" fontId="0" fillId="0" borderId="0" xfId="0" applyBorder="1" applyAlignment="1">
      <alignment horizontal="left"/>
    </xf>
    <xf numFmtId="0" fontId="0" fillId="0" borderId="0" xfId="0" applyFill="1" applyBorder="1" applyAlignment="1">
      <alignment horizontal="center"/>
    </xf>
    <xf numFmtId="164" fontId="0" fillId="0" borderId="0" xfId="1" applyNumberFormat="1" applyFont="1" applyFill="1" applyBorder="1" applyAlignment="1">
      <alignment horizontal="center"/>
    </xf>
    <xf numFmtId="0" fontId="0" fillId="0" borderId="0" xfId="0" applyAlignment="1">
      <alignment horizontal="center" wrapText="1"/>
    </xf>
    <xf numFmtId="0" fontId="1" fillId="0" borderId="0" xfId="0" applyFont="1" applyBorder="1" applyAlignment="1">
      <alignment horizontal="left"/>
    </xf>
    <xf numFmtId="0" fontId="1" fillId="0" borderId="0" xfId="0" applyFont="1" applyFill="1"/>
    <xf numFmtId="0" fontId="1" fillId="0" borderId="0" xfId="0" applyFont="1" applyFill="1" applyBorder="1" applyAlignment="1">
      <alignment horizontal="left"/>
    </xf>
    <xf numFmtId="0" fontId="1" fillId="0" borderId="0" xfId="2" applyNumberFormat="1" applyFont="1" applyAlignment="1">
      <alignment horizontal="left"/>
    </xf>
    <xf numFmtId="0" fontId="3" fillId="0" borderId="0" xfId="0" applyFont="1" applyAlignment="1">
      <alignment vertical="center" wrapText="1"/>
    </xf>
    <xf numFmtId="0" fontId="4" fillId="0" borderId="0" xfId="0" applyFont="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289A-475A-47CD-8231-EB9ACCE280BE}">
  <dimension ref="A1:K820"/>
  <sheetViews>
    <sheetView topLeftCell="D1" zoomScale="85" zoomScaleNormal="85" workbookViewId="0">
      <selection activeCell="I1" sqref="I1:I1048576"/>
    </sheetView>
  </sheetViews>
  <sheetFormatPr defaultRowHeight="15" x14ac:dyDescent="0.25"/>
  <cols>
    <col min="1" max="1" width="28.5703125" bestFit="1" customWidth="1"/>
    <col min="4" max="4" width="135.5703125" customWidth="1"/>
    <col min="5" max="5" width="13" customWidth="1"/>
    <col min="6" max="6" width="10.140625" customWidth="1"/>
    <col min="7" max="7" width="18.5703125" bestFit="1" customWidth="1"/>
    <col min="8" max="8" width="18.5703125" customWidth="1"/>
    <col min="9" max="9" width="9.140625" customWidth="1"/>
    <col min="10" max="10" width="37.28515625" bestFit="1" customWidth="1"/>
  </cols>
  <sheetData>
    <row r="1" spans="1:11" s="1" customFormat="1" x14ac:dyDescent="0.25">
      <c r="A1" s="1" t="s">
        <v>0</v>
      </c>
      <c r="B1" s="1" t="s">
        <v>1</v>
      </c>
      <c r="C1" s="1" t="s">
        <v>2</v>
      </c>
      <c r="D1" s="1" t="s">
        <v>3</v>
      </c>
      <c r="E1" s="11" t="s">
        <v>508</v>
      </c>
      <c r="F1" s="1" t="s">
        <v>4</v>
      </c>
      <c r="G1" s="11" t="s">
        <v>509</v>
      </c>
      <c r="H1" s="11" t="s">
        <v>511</v>
      </c>
      <c r="I1" s="11" t="s">
        <v>512</v>
      </c>
      <c r="J1" s="1" t="s">
        <v>5</v>
      </c>
      <c r="K1" s="1" t="s">
        <v>528</v>
      </c>
    </row>
    <row r="2" spans="1:11" x14ac:dyDescent="0.25">
      <c r="A2" t="s">
        <v>6</v>
      </c>
    </row>
    <row r="3" spans="1:11" x14ac:dyDescent="0.25">
      <c r="B3" t="s">
        <v>7</v>
      </c>
    </row>
    <row r="4" spans="1:11" x14ac:dyDescent="0.25">
      <c r="C4" t="s">
        <v>8</v>
      </c>
    </row>
    <row r="5" spans="1:11" x14ac:dyDescent="0.25">
      <c r="D5" t="s">
        <v>11</v>
      </c>
      <c r="E5" t="s">
        <v>510</v>
      </c>
      <c r="F5" t="s">
        <v>9</v>
      </c>
      <c r="G5" t="s">
        <v>521</v>
      </c>
      <c r="H5" t="s">
        <v>513</v>
      </c>
      <c r="I5" t="s">
        <v>514</v>
      </c>
      <c r="J5" t="s">
        <v>233</v>
      </c>
      <c r="K5" t="s">
        <v>10</v>
      </c>
    </row>
    <row r="6" spans="1:11" x14ac:dyDescent="0.25">
      <c r="J6" t="s">
        <v>234</v>
      </c>
      <c r="K6" t="s">
        <v>9</v>
      </c>
    </row>
    <row r="7" spans="1:11" x14ac:dyDescent="0.25">
      <c r="J7" t="s">
        <v>235</v>
      </c>
      <c r="K7" t="s">
        <v>10</v>
      </c>
    </row>
    <row r="8" spans="1:11" x14ac:dyDescent="0.25">
      <c r="D8" t="s">
        <v>12</v>
      </c>
      <c r="E8" t="s">
        <v>510</v>
      </c>
      <c r="F8" t="s">
        <v>9</v>
      </c>
      <c r="G8" t="s">
        <v>521</v>
      </c>
      <c r="H8" t="s">
        <v>516</v>
      </c>
      <c r="I8" t="s">
        <v>514</v>
      </c>
      <c r="J8" t="s">
        <v>236</v>
      </c>
      <c r="K8" t="s">
        <v>10</v>
      </c>
    </row>
    <row r="9" spans="1:11" x14ac:dyDescent="0.25">
      <c r="H9" t="s">
        <v>517</v>
      </c>
      <c r="I9" t="s">
        <v>515</v>
      </c>
      <c r="J9" t="s">
        <v>237</v>
      </c>
      <c r="K9" t="s">
        <v>10</v>
      </c>
    </row>
    <row r="10" spans="1:11" x14ac:dyDescent="0.25">
      <c r="H10" t="s">
        <v>518</v>
      </c>
      <c r="I10" t="s">
        <v>515</v>
      </c>
      <c r="J10" t="s">
        <v>238</v>
      </c>
      <c r="K10" t="s">
        <v>10</v>
      </c>
    </row>
    <row r="11" spans="1:11" x14ac:dyDescent="0.25">
      <c r="H11" t="s">
        <v>519</v>
      </c>
      <c r="I11" t="s">
        <v>515</v>
      </c>
    </row>
    <row r="12" spans="1:11" x14ac:dyDescent="0.25">
      <c r="C12" t="s">
        <v>13</v>
      </c>
    </row>
    <row r="13" spans="1:11" x14ac:dyDescent="0.25">
      <c r="D13" t="s">
        <v>15</v>
      </c>
      <c r="E13" t="s">
        <v>510</v>
      </c>
      <c r="F13" t="s">
        <v>14</v>
      </c>
      <c r="G13" t="s">
        <v>521</v>
      </c>
      <c r="H13" t="s">
        <v>520</v>
      </c>
      <c r="I13" t="s">
        <v>507</v>
      </c>
      <c r="J13" t="s">
        <v>239</v>
      </c>
      <c r="K13" t="s">
        <v>10</v>
      </c>
    </row>
    <row r="14" spans="1:11" x14ac:dyDescent="0.25">
      <c r="J14" t="s">
        <v>240</v>
      </c>
      <c r="K14" t="s">
        <v>10</v>
      </c>
    </row>
    <row r="15" spans="1:11" x14ac:dyDescent="0.25">
      <c r="J15" t="s">
        <v>241</v>
      </c>
      <c r="K15" t="s">
        <v>14</v>
      </c>
    </row>
    <row r="16" spans="1:11" x14ac:dyDescent="0.25">
      <c r="J16" t="s">
        <v>242</v>
      </c>
      <c r="K16" t="s">
        <v>14</v>
      </c>
    </row>
    <row r="17" spans="3:11" x14ac:dyDescent="0.25">
      <c r="C17" t="s">
        <v>16</v>
      </c>
    </row>
    <row r="18" spans="3:11" x14ac:dyDescent="0.25">
      <c r="D18" t="s">
        <v>17</v>
      </c>
      <c r="E18" t="s">
        <v>510</v>
      </c>
      <c r="F18" t="s">
        <v>10</v>
      </c>
      <c r="G18" t="s">
        <v>521</v>
      </c>
      <c r="H18" t="s">
        <v>522</v>
      </c>
      <c r="I18" t="s">
        <v>10</v>
      </c>
      <c r="J18" t="s">
        <v>243</v>
      </c>
      <c r="K18" t="s">
        <v>10</v>
      </c>
    </row>
    <row r="19" spans="3:11" x14ac:dyDescent="0.25">
      <c r="J19" t="s">
        <v>244</v>
      </c>
      <c r="K19" t="s">
        <v>9</v>
      </c>
    </row>
    <row r="20" spans="3:11" x14ac:dyDescent="0.25">
      <c r="J20" t="s">
        <v>235</v>
      </c>
      <c r="K20" t="s">
        <v>10</v>
      </c>
    </row>
    <row r="21" spans="3:11" x14ac:dyDescent="0.25">
      <c r="C21" t="s">
        <v>18</v>
      </c>
    </row>
    <row r="22" spans="3:11" x14ac:dyDescent="0.25">
      <c r="D22" t="s">
        <v>20</v>
      </c>
      <c r="E22" t="s">
        <v>510</v>
      </c>
      <c r="F22" t="s">
        <v>19</v>
      </c>
      <c r="G22" t="s">
        <v>521</v>
      </c>
      <c r="H22" t="s">
        <v>523</v>
      </c>
      <c r="I22" t="s">
        <v>19</v>
      </c>
      <c r="J22" t="s">
        <v>239</v>
      </c>
      <c r="K22" t="s">
        <v>10</v>
      </c>
    </row>
    <row r="23" spans="3:11" x14ac:dyDescent="0.25">
      <c r="J23" t="s">
        <v>249</v>
      </c>
      <c r="K23" t="s">
        <v>10</v>
      </c>
    </row>
    <row r="24" spans="3:11" x14ac:dyDescent="0.25">
      <c r="J24" t="s">
        <v>240</v>
      </c>
      <c r="K24" t="s">
        <v>10</v>
      </c>
    </row>
    <row r="25" spans="3:11" x14ac:dyDescent="0.25">
      <c r="J25" t="s">
        <v>250</v>
      </c>
      <c r="K25" t="s">
        <v>19</v>
      </c>
    </row>
    <row r="26" spans="3:11" x14ac:dyDescent="0.25">
      <c r="J26" t="s">
        <v>245</v>
      </c>
      <c r="K26" t="s">
        <v>19</v>
      </c>
    </row>
    <row r="27" spans="3:11" x14ac:dyDescent="0.25">
      <c r="J27" t="s">
        <v>248</v>
      </c>
      <c r="K27" t="s">
        <v>19</v>
      </c>
    </row>
    <row r="28" spans="3:11" x14ac:dyDescent="0.25">
      <c r="J28" t="s">
        <v>246</v>
      </c>
      <c r="K28" t="s">
        <v>19</v>
      </c>
    </row>
    <row r="29" spans="3:11" x14ac:dyDescent="0.25">
      <c r="J29" t="s">
        <v>247</v>
      </c>
      <c r="K29" t="s">
        <v>14</v>
      </c>
    </row>
    <row r="30" spans="3:11" x14ac:dyDescent="0.25">
      <c r="J30" t="s">
        <v>241</v>
      </c>
      <c r="K30" t="s">
        <v>14</v>
      </c>
    </row>
    <row r="31" spans="3:11" x14ac:dyDescent="0.25">
      <c r="D31" t="s">
        <v>21</v>
      </c>
      <c r="E31" t="s">
        <v>510</v>
      </c>
      <c r="F31" t="s">
        <v>19</v>
      </c>
      <c r="G31" t="s">
        <v>521</v>
      </c>
      <c r="H31" t="s">
        <v>524</v>
      </c>
      <c r="I31" t="s">
        <v>19</v>
      </c>
      <c r="J31" t="s">
        <v>239</v>
      </c>
      <c r="K31" t="s">
        <v>10</v>
      </c>
    </row>
    <row r="32" spans="3:11" x14ac:dyDescent="0.25">
      <c r="J32" t="s">
        <v>249</v>
      </c>
      <c r="K32" t="s">
        <v>10</v>
      </c>
    </row>
    <row r="33" spans="3:11" x14ac:dyDescent="0.25">
      <c r="J33" t="s">
        <v>240</v>
      </c>
      <c r="K33" t="s">
        <v>10</v>
      </c>
    </row>
    <row r="34" spans="3:11" x14ac:dyDescent="0.25">
      <c r="J34" t="s">
        <v>250</v>
      </c>
      <c r="K34" t="s">
        <v>19</v>
      </c>
    </row>
    <row r="35" spans="3:11" x14ac:dyDescent="0.25">
      <c r="J35" t="s">
        <v>245</v>
      </c>
      <c r="K35" t="s">
        <v>19</v>
      </c>
    </row>
    <row r="36" spans="3:11" x14ac:dyDescent="0.25">
      <c r="J36" t="s">
        <v>248</v>
      </c>
      <c r="K36" t="s">
        <v>19</v>
      </c>
    </row>
    <row r="37" spans="3:11" x14ac:dyDescent="0.25">
      <c r="J37" t="s">
        <v>246</v>
      </c>
      <c r="K37" t="s">
        <v>19</v>
      </c>
    </row>
    <row r="38" spans="3:11" x14ac:dyDescent="0.25">
      <c r="J38" t="s">
        <v>247</v>
      </c>
      <c r="K38" t="s">
        <v>14</v>
      </c>
    </row>
    <row r="39" spans="3:11" x14ac:dyDescent="0.25">
      <c r="J39" t="s">
        <v>241</v>
      </c>
      <c r="K39" t="s">
        <v>14</v>
      </c>
    </row>
    <row r="40" spans="3:11" x14ac:dyDescent="0.25">
      <c r="C40" t="s">
        <v>22</v>
      </c>
    </row>
    <row r="41" spans="3:11" x14ac:dyDescent="0.25">
      <c r="D41" t="s">
        <v>23</v>
      </c>
      <c r="E41" t="s">
        <v>510</v>
      </c>
      <c r="F41" t="s">
        <v>14</v>
      </c>
      <c r="G41" t="s">
        <v>521</v>
      </c>
      <c r="H41" t="s">
        <v>526</v>
      </c>
      <c r="I41" t="s">
        <v>525</v>
      </c>
      <c r="J41" t="s">
        <v>251</v>
      </c>
      <c r="K41" t="s">
        <v>14</v>
      </c>
    </row>
    <row r="42" spans="3:11" x14ac:dyDescent="0.25">
      <c r="J42" t="s">
        <v>252</v>
      </c>
      <c r="K42" t="s">
        <v>14</v>
      </c>
    </row>
    <row r="43" spans="3:11" x14ac:dyDescent="0.25">
      <c r="J43" t="s">
        <v>253</v>
      </c>
      <c r="K43" t="s">
        <v>14</v>
      </c>
    </row>
    <row r="44" spans="3:11" x14ac:dyDescent="0.25">
      <c r="J44" t="s">
        <v>255</v>
      </c>
      <c r="K44" t="s">
        <v>10</v>
      </c>
    </row>
    <row r="45" spans="3:11" x14ac:dyDescent="0.25">
      <c r="J45" t="s">
        <v>254</v>
      </c>
      <c r="K45" t="s">
        <v>525</v>
      </c>
    </row>
    <row r="46" spans="3:11" x14ac:dyDescent="0.25">
      <c r="C46" t="s">
        <v>24</v>
      </c>
    </row>
    <row r="47" spans="3:11" x14ac:dyDescent="0.25">
      <c r="D47" t="s">
        <v>25</v>
      </c>
      <c r="E47" t="s">
        <v>510</v>
      </c>
      <c r="F47" t="s">
        <v>19</v>
      </c>
      <c r="G47" t="s">
        <v>521</v>
      </c>
      <c r="H47" t="s">
        <v>527</v>
      </c>
      <c r="I47" t="s">
        <v>19</v>
      </c>
      <c r="J47" t="s">
        <v>251</v>
      </c>
      <c r="K47" t="s">
        <v>19</v>
      </c>
    </row>
    <row r="48" spans="3:11" x14ac:dyDescent="0.25">
      <c r="J48" t="s">
        <v>252</v>
      </c>
      <c r="K48" t="s">
        <v>19</v>
      </c>
    </row>
    <row r="49" spans="2:11" x14ac:dyDescent="0.25">
      <c r="J49" t="s">
        <v>253</v>
      </c>
      <c r="K49" t="s">
        <v>19</v>
      </c>
    </row>
    <row r="50" spans="2:11" x14ac:dyDescent="0.25">
      <c r="J50" t="s">
        <v>255</v>
      </c>
      <c r="K50" t="s">
        <v>10</v>
      </c>
    </row>
    <row r="52" spans="2:11" x14ac:dyDescent="0.25">
      <c r="B52" t="s">
        <v>26</v>
      </c>
    </row>
    <row r="53" spans="2:11" x14ac:dyDescent="0.25">
      <c r="C53" t="s">
        <v>27</v>
      </c>
    </row>
    <row r="54" spans="2:11" x14ac:dyDescent="0.25">
      <c r="D54" t="s">
        <v>29</v>
      </c>
      <c r="E54" t="s">
        <v>510</v>
      </c>
      <c r="F54" t="s">
        <v>28</v>
      </c>
      <c r="G54" t="s">
        <v>521</v>
      </c>
      <c r="H54" t="s">
        <v>531</v>
      </c>
      <c r="I54" t="s">
        <v>9</v>
      </c>
    </row>
    <row r="55" spans="2:11" x14ac:dyDescent="0.25">
      <c r="J55" t="s">
        <v>243</v>
      </c>
      <c r="K55" t="s">
        <v>10</v>
      </c>
    </row>
    <row r="56" spans="2:11" x14ac:dyDescent="0.25">
      <c r="J56" t="s">
        <v>256</v>
      </c>
      <c r="K56" t="s">
        <v>1</v>
      </c>
    </row>
    <row r="57" spans="2:11" x14ac:dyDescent="0.25">
      <c r="J57" t="s">
        <v>257</v>
      </c>
      <c r="K57" t="s">
        <v>10</v>
      </c>
    </row>
    <row r="58" spans="2:11" x14ac:dyDescent="0.25">
      <c r="J58" t="s">
        <v>258</v>
      </c>
      <c r="K58" t="s">
        <v>10</v>
      </c>
    </row>
    <row r="59" spans="2:11" x14ac:dyDescent="0.25">
      <c r="J59" t="s">
        <v>235</v>
      </c>
      <c r="K59" t="s">
        <v>10</v>
      </c>
    </row>
    <row r="60" spans="2:11" x14ac:dyDescent="0.25">
      <c r="C60" t="s">
        <v>30</v>
      </c>
    </row>
    <row r="61" spans="2:11" x14ac:dyDescent="0.25">
      <c r="D61" t="s">
        <v>31</v>
      </c>
      <c r="E61" t="s">
        <v>510</v>
      </c>
      <c r="F61" t="s">
        <v>9</v>
      </c>
      <c r="G61" t="s">
        <v>521</v>
      </c>
    </row>
    <row r="62" spans="2:11" x14ac:dyDescent="0.25">
      <c r="J62" t="s">
        <v>236</v>
      </c>
      <c r="K62" t="s">
        <v>10</v>
      </c>
    </row>
    <row r="63" spans="2:11" x14ac:dyDescent="0.25">
      <c r="J63" t="s">
        <v>237</v>
      </c>
      <c r="K63" t="s">
        <v>10</v>
      </c>
    </row>
    <row r="64" spans="2:11" x14ac:dyDescent="0.25">
      <c r="J64" t="s">
        <v>238</v>
      </c>
      <c r="K64" t="s">
        <v>10</v>
      </c>
    </row>
    <row r="65" spans="2:11" x14ac:dyDescent="0.25">
      <c r="B65" t="s">
        <v>32</v>
      </c>
    </row>
    <row r="66" spans="2:11" x14ac:dyDescent="0.25">
      <c r="C66" t="s">
        <v>33</v>
      </c>
    </row>
    <row r="67" spans="2:11" x14ac:dyDescent="0.25">
      <c r="D67" t="s">
        <v>34</v>
      </c>
      <c r="E67" t="s">
        <v>510</v>
      </c>
      <c r="F67" t="s">
        <v>28</v>
      </c>
      <c r="G67" t="s">
        <v>521</v>
      </c>
    </row>
    <row r="68" spans="2:11" x14ac:dyDescent="0.25">
      <c r="J68" t="s">
        <v>256</v>
      </c>
      <c r="K68" t="s">
        <v>1</v>
      </c>
    </row>
    <row r="69" spans="2:11" x14ac:dyDescent="0.25">
      <c r="J69" t="s">
        <v>234</v>
      </c>
      <c r="K69" t="s">
        <v>9</v>
      </c>
    </row>
    <row r="70" spans="2:11" x14ac:dyDescent="0.25">
      <c r="J70" t="s">
        <v>258</v>
      </c>
      <c r="K70" t="s">
        <v>10</v>
      </c>
    </row>
    <row r="71" spans="2:11" x14ac:dyDescent="0.25">
      <c r="J71" t="s">
        <v>235</v>
      </c>
      <c r="K71" t="s">
        <v>10</v>
      </c>
    </row>
    <row r="72" spans="2:11" x14ac:dyDescent="0.25">
      <c r="D72" t="s">
        <v>35</v>
      </c>
      <c r="E72" t="s">
        <v>510</v>
      </c>
      <c r="F72" t="s">
        <v>28</v>
      </c>
      <c r="G72" t="s">
        <v>521</v>
      </c>
    </row>
    <row r="73" spans="2:11" x14ac:dyDescent="0.25">
      <c r="J73" t="s">
        <v>243</v>
      </c>
      <c r="K73" t="s">
        <v>10</v>
      </c>
    </row>
    <row r="74" spans="2:11" x14ac:dyDescent="0.25">
      <c r="J74" t="s">
        <v>235</v>
      </c>
      <c r="K74" t="s">
        <v>10</v>
      </c>
    </row>
    <row r="75" spans="2:11" x14ac:dyDescent="0.25">
      <c r="C75" t="s">
        <v>36</v>
      </c>
    </row>
    <row r="76" spans="2:11" x14ac:dyDescent="0.25">
      <c r="D76" t="s">
        <v>37</v>
      </c>
      <c r="E76" t="s">
        <v>510</v>
      </c>
      <c r="F76" t="s">
        <v>9</v>
      </c>
      <c r="G76" t="s">
        <v>521</v>
      </c>
    </row>
    <row r="77" spans="2:11" x14ac:dyDescent="0.25">
      <c r="J77" t="s">
        <v>236</v>
      </c>
      <c r="K77" t="s">
        <v>10</v>
      </c>
    </row>
    <row r="78" spans="2:11" x14ac:dyDescent="0.25">
      <c r="J78" t="s">
        <v>237</v>
      </c>
      <c r="K78" t="s">
        <v>10</v>
      </c>
    </row>
    <row r="79" spans="2:11" x14ac:dyDescent="0.25">
      <c r="J79" t="s">
        <v>238</v>
      </c>
      <c r="K79" t="s">
        <v>10</v>
      </c>
    </row>
    <row r="80" spans="2:11" x14ac:dyDescent="0.25">
      <c r="J80" t="s">
        <v>234</v>
      </c>
      <c r="K80" t="s">
        <v>9</v>
      </c>
    </row>
    <row r="81" spans="3:11" x14ac:dyDescent="0.25">
      <c r="J81" t="s">
        <v>259</v>
      </c>
      <c r="K81" t="s">
        <v>14</v>
      </c>
    </row>
    <row r="82" spans="3:11" x14ac:dyDescent="0.25">
      <c r="J82" t="s">
        <v>235</v>
      </c>
      <c r="K82" t="s">
        <v>10</v>
      </c>
    </row>
    <row r="83" spans="3:11" x14ac:dyDescent="0.25">
      <c r="C83" t="s">
        <v>38</v>
      </c>
    </row>
    <row r="84" spans="3:11" x14ac:dyDescent="0.25">
      <c r="D84" t="s">
        <v>39</v>
      </c>
      <c r="E84" t="s">
        <v>510</v>
      </c>
      <c r="F84" t="s">
        <v>10</v>
      </c>
      <c r="G84" t="s">
        <v>521</v>
      </c>
    </row>
    <row r="85" spans="3:11" x14ac:dyDescent="0.25">
      <c r="J85" t="s">
        <v>260</v>
      </c>
      <c r="K85" t="s">
        <v>10</v>
      </c>
    </row>
    <row r="86" spans="3:11" x14ac:dyDescent="0.25">
      <c r="J86" t="s">
        <v>261</v>
      </c>
      <c r="K86" t="s">
        <v>507</v>
      </c>
    </row>
    <row r="87" spans="3:11" x14ac:dyDescent="0.25">
      <c r="J87" t="s">
        <v>243</v>
      </c>
      <c r="K87" t="s">
        <v>10</v>
      </c>
    </row>
    <row r="88" spans="3:11" x14ac:dyDescent="0.25">
      <c r="D88" t="s">
        <v>40</v>
      </c>
      <c r="E88" t="s">
        <v>510</v>
      </c>
      <c r="F88" t="s">
        <v>10</v>
      </c>
      <c r="G88" t="s">
        <v>521</v>
      </c>
    </row>
    <row r="89" spans="3:11" x14ac:dyDescent="0.25">
      <c r="J89" t="s">
        <v>243</v>
      </c>
      <c r="K89" t="s">
        <v>10</v>
      </c>
    </row>
    <row r="90" spans="3:11" x14ac:dyDescent="0.25">
      <c r="J90" t="s">
        <v>236</v>
      </c>
      <c r="K90" t="s">
        <v>10</v>
      </c>
    </row>
    <row r="91" spans="3:11" x14ac:dyDescent="0.25">
      <c r="J91" t="s">
        <v>258</v>
      </c>
      <c r="K91" t="s">
        <v>10</v>
      </c>
    </row>
    <row r="92" spans="3:11" x14ac:dyDescent="0.25">
      <c r="J92" t="s">
        <v>235</v>
      </c>
      <c r="K92" t="s">
        <v>10</v>
      </c>
    </row>
    <row r="93" spans="3:11" x14ac:dyDescent="0.25">
      <c r="D93" t="s">
        <v>41</v>
      </c>
      <c r="E93" t="s">
        <v>510</v>
      </c>
      <c r="F93" t="s">
        <v>10</v>
      </c>
      <c r="G93" t="s">
        <v>521</v>
      </c>
    </row>
    <row r="94" spans="3:11" x14ac:dyDescent="0.25">
      <c r="J94" t="s">
        <v>236</v>
      </c>
      <c r="K94" t="s">
        <v>10</v>
      </c>
    </row>
    <row r="95" spans="3:11" x14ac:dyDescent="0.25">
      <c r="J95" t="s">
        <v>237</v>
      </c>
      <c r="K95" t="s">
        <v>10</v>
      </c>
    </row>
    <row r="96" spans="3:11" x14ac:dyDescent="0.25">
      <c r="J96" t="s">
        <v>238</v>
      </c>
      <c r="K96" t="s">
        <v>10</v>
      </c>
    </row>
    <row r="97" spans="2:11" x14ac:dyDescent="0.25">
      <c r="J97" t="s">
        <v>235</v>
      </c>
      <c r="K97" t="s">
        <v>10</v>
      </c>
    </row>
    <row r="98" spans="2:11" x14ac:dyDescent="0.25">
      <c r="B98" t="s">
        <v>42</v>
      </c>
    </row>
    <row r="99" spans="2:11" x14ac:dyDescent="0.25">
      <c r="C99" t="s">
        <v>43</v>
      </c>
    </row>
    <row r="100" spans="2:11" x14ac:dyDescent="0.25">
      <c r="D100" t="s">
        <v>44</v>
      </c>
      <c r="E100" t="s">
        <v>510</v>
      </c>
      <c r="F100" t="s">
        <v>9</v>
      </c>
      <c r="G100" t="s">
        <v>521</v>
      </c>
    </row>
    <row r="101" spans="2:11" x14ac:dyDescent="0.25">
      <c r="J101" t="s">
        <v>238</v>
      </c>
      <c r="K101" t="s">
        <v>10</v>
      </c>
    </row>
    <row r="102" spans="2:11" x14ac:dyDescent="0.25">
      <c r="J102" t="s">
        <v>235</v>
      </c>
      <c r="K102" t="s">
        <v>10</v>
      </c>
    </row>
    <row r="103" spans="2:11" x14ac:dyDescent="0.25">
      <c r="D103" t="s">
        <v>45</v>
      </c>
      <c r="E103" t="s">
        <v>510</v>
      </c>
      <c r="F103" t="s">
        <v>9</v>
      </c>
      <c r="G103" t="s">
        <v>521</v>
      </c>
    </row>
    <row r="104" spans="2:11" x14ac:dyDescent="0.25">
      <c r="J104" t="s">
        <v>238</v>
      </c>
      <c r="K104" t="s">
        <v>10</v>
      </c>
    </row>
    <row r="105" spans="2:11" x14ac:dyDescent="0.25">
      <c r="D105" t="s">
        <v>46</v>
      </c>
      <c r="E105" t="s">
        <v>510</v>
      </c>
      <c r="F105" t="s">
        <v>9</v>
      </c>
      <c r="G105" t="s">
        <v>521</v>
      </c>
    </row>
    <row r="106" spans="2:11" x14ac:dyDescent="0.25">
      <c r="J106" t="s">
        <v>233</v>
      </c>
      <c r="K106" t="s">
        <v>10</v>
      </c>
    </row>
    <row r="107" spans="2:11" x14ac:dyDescent="0.25">
      <c r="J107" t="s">
        <v>236</v>
      </c>
      <c r="K107" t="s">
        <v>10</v>
      </c>
    </row>
    <row r="108" spans="2:11" x14ac:dyDescent="0.25">
      <c r="J108" t="s">
        <v>237</v>
      </c>
      <c r="K108" t="s">
        <v>10</v>
      </c>
    </row>
    <row r="109" spans="2:11" x14ac:dyDescent="0.25">
      <c r="J109" t="s">
        <v>238</v>
      </c>
      <c r="K109" t="s">
        <v>10</v>
      </c>
    </row>
    <row r="110" spans="2:11" x14ac:dyDescent="0.25">
      <c r="J110" t="s">
        <v>234</v>
      </c>
      <c r="K110" t="s">
        <v>9</v>
      </c>
    </row>
    <row r="111" spans="2:11" x14ac:dyDescent="0.25">
      <c r="J111" t="s">
        <v>258</v>
      </c>
      <c r="K111" t="s">
        <v>10</v>
      </c>
    </row>
    <row r="112" spans="2:11" x14ac:dyDescent="0.25">
      <c r="J112" t="s">
        <v>259</v>
      </c>
      <c r="K112" t="s">
        <v>14</v>
      </c>
    </row>
    <row r="113" spans="2:11" x14ac:dyDescent="0.25">
      <c r="J113" t="s">
        <v>235</v>
      </c>
      <c r="K113" t="s">
        <v>10</v>
      </c>
    </row>
    <row r="114" spans="2:11" x14ac:dyDescent="0.25">
      <c r="B114" t="s">
        <v>47</v>
      </c>
    </row>
    <row r="115" spans="2:11" x14ac:dyDescent="0.25">
      <c r="C115" t="s">
        <v>48</v>
      </c>
    </row>
    <row r="116" spans="2:11" x14ac:dyDescent="0.25">
      <c r="D116" t="s">
        <v>49</v>
      </c>
      <c r="E116" t="s">
        <v>510</v>
      </c>
      <c r="F116" t="s">
        <v>9</v>
      </c>
      <c r="G116" t="s">
        <v>521</v>
      </c>
    </row>
    <row r="117" spans="2:11" x14ac:dyDescent="0.25">
      <c r="J117" t="s">
        <v>244</v>
      </c>
      <c r="K117" t="s">
        <v>9</v>
      </c>
    </row>
    <row r="118" spans="2:11" x14ac:dyDescent="0.25">
      <c r="D118" t="s">
        <v>50</v>
      </c>
      <c r="E118" t="s">
        <v>510</v>
      </c>
      <c r="F118" t="s">
        <v>9</v>
      </c>
      <c r="G118" t="s">
        <v>521</v>
      </c>
    </row>
    <row r="119" spans="2:11" x14ac:dyDescent="0.25">
      <c r="J119" t="s">
        <v>243</v>
      </c>
      <c r="K119" t="s">
        <v>10</v>
      </c>
    </row>
    <row r="120" spans="2:11" x14ac:dyDescent="0.25">
      <c r="D120" t="s">
        <v>51</v>
      </c>
      <c r="E120" t="s">
        <v>510</v>
      </c>
      <c r="F120" t="s">
        <v>9</v>
      </c>
      <c r="G120" t="s">
        <v>521</v>
      </c>
    </row>
    <row r="121" spans="2:11" x14ac:dyDescent="0.25">
      <c r="J121" t="s">
        <v>233</v>
      </c>
      <c r="K121" t="s">
        <v>10</v>
      </c>
    </row>
    <row r="122" spans="2:11" x14ac:dyDescent="0.25">
      <c r="J122" t="s">
        <v>243</v>
      </c>
      <c r="K122" t="s">
        <v>10</v>
      </c>
    </row>
    <row r="123" spans="2:11" x14ac:dyDescent="0.25">
      <c r="J123" t="s">
        <v>236</v>
      </c>
      <c r="K123" t="s">
        <v>10</v>
      </c>
    </row>
    <row r="124" spans="2:11" x14ac:dyDescent="0.25">
      <c r="J124" t="s">
        <v>234</v>
      </c>
      <c r="K124" t="s">
        <v>9</v>
      </c>
    </row>
    <row r="125" spans="2:11" x14ac:dyDescent="0.25">
      <c r="J125" t="s">
        <v>258</v>
      </c>
      <c r="K125" t="s">
        <v>10</v>
      </c>
    </row>
    <row r="126" spans="2:11" x14ac:dyDescent="0.25">
      <c r="J126" t="s">
        <v>235</v>
      </c>
      <c r="K126" t="s">
        <v>10</v>
      </c>
    </row>
    <row r="127" spans="2:11" x14ac:dyDescent="0.25">
      <c r="D127" t="s">
        <v>52</v>
      </c>
      <c r="E127" t="s">
        <v>510</v>
      </c>
      <c r="F127" t="s">
        <v>9</v>
      </c>
      <c r="G127" t="s">
        <v>521</v>
      </c>
    </row>
    <row r="128" spans="2:11" x14ac:dyDescent="0.25">
      <c r="J128" t="s">
        <v>236</v>
      </c>
      <c r="K128" t="s">
        <v>10</v>
      </c>
    </row>
    <row r="129" spans="3:11" x14ac:dyDescent="0.25">
      <c r="J129" t="s">
        <v>237</v>
      </c>
      <c r="K129" t="s">
        <v>10</v>
      </c>
    </row>
    <row r="130" spans="3:11" x14ac:dyDescent="0.25">
      <c r="J130" t="s">
        <v>238</v>
      </c>
      <c r="K130" t="s">
        <v>10</v>
      </c>
    </row>
    <row r="131" spans="3:11" x14ac:dyDescent="0.25">
      <c r="C131" t="s">
        <v>53</v>
      </c>
    </row>
    <row r="132" spans="3:11" x14ac:dyDescent="0.25">
      <c r="D132" t="s">
        <v>54</v>
      </c>
      <c r="E132" t="s">
        <v>510</v>
      </c>
      <c r="F132" t="s">
        <v>10</v>
      </c>
      <c r="G132" t="s">
        <v>521</v>
      </c>
    </row>
    <row r="133" spans="3:11" x14ac:dyDescent="0.25">
      <c r="J133" t="s">
        <v>257</v>
      </c>
      <c r="K133" t="s">
        <v>10</v>
      </c>
    </row>
    <row r="134" spans="3:11" x14ac:dyDescent="0.25">
      <c r="J134" t="s">
        <v>262</v>
      </c>
      <c r="K134" t="s">
        <v>14</v>
      </c>
    </row>
    <row r="135" spans="3:11" x14ac:dyDescent="0.25">
      <c r="J135" t="s">
        <v>259</v>
      </c>
      <c r="K135" t="s">
        <v>14</v>
      </c>
    </row>
    <row r="136" spans="3:11" x14ac:dyDescent="0.25">
      <c r="J136" t="s">
        <v>235</v>
      </c>
      <c r="K136" t="s">
        <v>10</v>
      </c>
    </row>
    <row r="137" spans="3:11" x14ac:dyDescent="0.25">
      <c r="D137" t="s">
        <v>55</v>
      </c>
      <c r="E137" t="s">
        <v>510</v>
      </c>
      <c r="F137" t="s">
        <v>10</v>
      </c>
      <c r="G137" t="s">
        <v>521</v>
      </c>
    </row>
    <row r="138" spans="3:11" x14ac:dyDescent="0.25">
      <c r="J138" t="s">
        <v>257</v>
      </c>
      <c r="K138" t="s">
        <v>10</v>
      </c>
    </row>
    <row r="139" spans="3:11" x14ac:dyDescent="0.25">
      <c r="J139" t="s">
        <v>262</v>
      </c>
      <c r="K139" t="s">
        <v>14</v>
      </c>
    </row>
    <row r="140" spans="3:11" x14ac:dyDescent="0.25">
      <c r="J140" t="s">
        <v>259</v>
      </c>
      <c r="K140" t="s">
        <v>14</v>
      </c>
    </row>
    <row r="141" spans="3:11" x14ac:dyDescent="0.25">
      <c r="J141" t="s">
        <v>235</v>
      </c>
      <c r="K141" t="s">
        <v>10</v>
      </c>
    </row>
    <row r="142" spans="3:11" x14ac:dyDescent="0.25">
      <c r="C142" t="s">
        <v>56</v>
      </c>
    </row>
    <row r="143" spans="3:11" x14ac:dyDescent="0.25">
      <c r="D143" t="s">
        <v>57</v>
      </c>
      <c r="E143" t="s">
        <v>510</v>
      </c>
      <c r="F143" t="s">
        <v>14</v>
      </c>
      <c r="G143" t="s">
        <v>521</v>
      </c>
    </row>
    <row r="144" spans="3:11" x14ac:dyDescent="0.25">
      <c r="J144" t="s">
        <v>262</v>
      </c>
      <c r="K144" t="s">
        <v>14</v>
      </c>
    </row>
    <row r="145" spans="3:11" x14ac:dyDescent="0.25">
      <c r="J145" t="s">
        <v>259</v>
      </c>
      <c r="K145" t="s">
        <v>14</v>
      </c>
    </row>
    <row r="146" spans="3:11" x14ac:dyDescent="0.25">
      <c r="J146" t="s">
        <v>235</v>
      </c>
      <c r="K146" t="s">
        <v>10</v>
      </c>
    </row>
    <row r="147" spans="3:11" x14ac:dyDescent="0.25">
      <c r="D147" t="s">
        <v>58</v>
      </c>
      <c r="E147" t="s">
        <v>510</v>
      </c>
      <c r="F147" t="s">
        <v>14</v>
      </c>
      <c r="G147" t="s">
        <v>521</v>
      </c>
    </row>
    <row r="148" spans="3:11" x14ac:dyDescent="0.25">
      <c r="J148" t="s">
        <v>262</v>
      </c>
      <c r="K148" t="s">
        <v>14</v>
      </c>
    </row>
    <row r="149" spans="3:11" x14ac:dyDescent="0.25">
      <c r="J149" t="s">
        <v>259</v>
      </c>
      <c r="K149" t="s">
        <v>14</v>
      </c>
    </row>
    <row r="150" spans="3:11" x14ac:dyDescent="0.25">
      <c r="J150" t="s">
        <v>235</v>
      </c>
      <c r="K150" t="s">
        <v>10</v>
      </c>
    </row>
    <row r="151" spans="3:11" x14ac:dyDescent="0.25">
      <c r="C151" t="s">
        <v>59</v>
      </c>
    </row>
    <row r="152" spans="3:11" x14ac:dyDescent="0.25">
      <c r="D152" t="s">
        <v>60</v>
      </c>
      <c r="E152" t="s">
        <v>510</v>
      </c>
      <c r="F152" t="s">
        <v>10</v>
      </c>
      <c r="G152" t="s">
        <v>521</v>
      </c>
    </row>
    <row r="153" spans="3:11" x14ac:dyDescent="0.25">
      <c r="J153" t="s">
        <v>233</v>
      </c>
      <c r="K153" t="s">
        <v>10</v>
      </c>
    </row>
    <row r="154" spans="3:11" x14ac:dyDescent="0.25">
      <c r="J154" t="s">
        <v>243</v>
      </c>
      <c r="K154" t="s">
        <v>10</v>
      </c>
    </row>
    <row r="155" spans="3:11" x14ac:dyDescent="0.25">
      <c r="J155" t="s">
        <v>259</v>
      </c>
      <c r="K155" t="s">
        <v>14</v>
      </c>
    </row>
    <row r="156" spans="3:11" x14ac:dyDescent="0.25">
      <c r="J156" t="s">
        <v>235</v>
      </c>
      <c r="K156" t="s">
        <v>10</v>
      </c>
    </row>
    <row r="157" spans="3:11" x14ac:dyDescent="0.25">
      <c r="D157" t="s">
        <v>61</v>
      </c>
      <c r="E157" t="s">
        <v>510</v>
      </c>
      <c r="F157" t="s">
        <v>10</v>
      </c>
      <c r="G157" t="s">
        <v>521</v>
      </c>
    </row>
    <row r="158" spans="3:11" x14ac:dyDescent="0.25">
      <c r="J158" t="s">
        <v>243</v>
      </c>
      <c r="K158" t="s">
        <v>10</v>
      </c>
    </row>
    <row r="159" spans="3:11" x14ac:dyDescent="0.25">
      <c r="D159" t="s">
        <v>62</v>
      </c>
      <c r="E159" t="s">
        <v>510</v>
      </c>
      <c r="F159" t="s">
        <v>10</v>
      </c>
      <c r="G159" t="s">
        <v>521</v>
      </c>
    </row>
    <row r="160" spans="3:11" x14ac:dyDescent="0.25">
      <c r="J160" t="s">
        <v>243</v>
      </c>
      <c r="K160" t="s">
        <v>10</v>
      </c>
    </row>
    <row r="161" spans="2:11" x14ac:dyDescent="0.25">
      <c r="D161" t="s">
        <v>63</v>
      </c>
      <c r="E161" t="s">
        <v>510</v>
      </c>
      <c r="F161" t="s">
        <v>10</v>
      </c>
      <c r="G161" t="s">
        <v>521</v>
      </c>
    </row>
    <row r="162" spans="2:11" x14ac:dyDescent="0.25">
      <c r="J162" t="s">
        <v>243</v>
      </c>
      <c r="K162" t="s">
        <v>10</v>
      </c>
    </row>
    <row r="163" spans="2:11" x14ac:dyDescent="0.25">
      <c r="J163" t="s">
        <v>236</v>
      </c>
      <c r="K163" t="s">
        <v>10</v>
      </c>
    </row>
    <row r="164" spans="2:11" x14ac:dyDescent="0.25">
      <c r="J164" t="s">
        <v>258</v>
      </c>
      <c r="K164" t="s">
        <v>10</v>
      </c>
    </row>
    <row r="165" spans="2:11" x14ac:dyDescent="0.25">
      <c r="J165" t="s">
        <v>235</v>
      </c>
      <c r="K165" t="s">
        <v>10</v>
      </c>
    </row>
    <row r="166" spans="2:11" x14ac:dyDescent="0.25">
      <c r="D166" t="s">
        <v>64</v>
      </c>
      <c r="E166" t="s">
        <v>510</v>
      </c>
      <c r="F166" t="s">
        <v>10</v>
      </c>
      <c r="G166" t="s">
        <v>521</v>
      </c>
    </row>
    <row r="167" spans="2:11" x14ac:dyDescent="0.25">
      <c r="J167" t="s">
        <v>243</v>
      </c>
      <c r="K167" t="s">
        <v>10</v>
      </c>
    </row>
    <row r="168" spans="2:11" x14ac:dyDescent="0.25">
      <c r="D168" t="s">
        <v>65</v>
      </c>
      <c r="E168" t="s">
        <v>510</v>
      </c>
      <c r="F168" t="s">
        <v>10</v>
      </c>
      <c r="G168" t="s">
        <v>521</v>
      </c>
    </row>
    <row r="169" spans="2:11" x14ac:dyDescent="0.25">
      <c r="J169" t="s">
        <v>243</v>
      </c>
      <c r="K169" t="s">
        <v>10</v>
      </c>
    </row>
    <row r="170" spans="2:11" x14ac:dyDescent="0.25">
      <c r="B170" t="s">
        <v>66</v>
      </c>
    </row>
    <row r="171" spans="2:11" x14ac:dyDescent="0.25">
      <c r="C171" t="s">
        <v>67</v>
      </c>
    </row>
    <row r="172" spans="2:11" x14ac:dyDescent="0.25">
      <c r="D172" t="s">
        <v>68</v>
      </c>
      <c r="E172" t="s">
        <v>510</v>
      </c>
      <c r="F172" t="s">
        <v>9</v>
      </c>
      <c r="G172" t="s">
        <v>521</v>
      </c>
    </row>
    <row r="173" spans="2:11" x14ac:dyDescent="0.25">
      <c r="J173" t="s">
        <v>236</v>
      </c>
      <c r="K173" t="s">
        <v>10</v>
      </c>
    </row>
    <row r="174" spans="2:11" x14ac:dyDescent="0.25">
      <c r="J174" t="s">
        <v>234</v>
      </c>
      <c r="K174" t="s">
        <v>9</v>
      </c>
    </row>
    <row r="175" spans="2:11" x14ac:dyDescent="0.25">
      <c r="J175" t="s">
        <v>235</v>
      </c>
      <c r="K175" t="s">
        <v>10</v>
      </c>
    </row>
    <row r="176" spans="2:11" x14ac:dyDescent="0.25">
      <c r="D176" t="s">
        <v>69</v>
      </c>
      <c r="E176" t="s">
        <v>510</v>
      </c>
      <c r="F176" t="s">
        <v>9</v>
      </c>
      <c r="G176" t="s">
        <v>521</v>
      </c>
    </row>
    <row r="177" spans="3:11" x14ac:dyDescent="0.25">
      <c r="J177" t="s">
        <v>236</v>
      </c>
      <c r="K177" t="s">
        <v>10</v>
      </c>
    </row>
    <row r="178" spans="3:11" x14ac:dyDescent="0.25">
      <c r="J178" t="s">
        <v>237</v>
      </c>
      <c r="K178" t="s">
        <v>10</v>
      </c>
    </row>
    <row r="179" spans="3:11" x14ac:dyDescent="0.25">
      <c r="J179" t="s">
        <v>238</v>
      </c>
      <c r="K179" t="s">
        <v>10</v>
      </c>
    </row>
    <row r="180" spans="3:11" x14ac:dyDescent="0.25">
      <c r="C180" t="s">
        <v>70</v>
      </c>
    </row>
    <row r="181" spans="3:11" x14ac:dyDescent="0.25">
      <c r="D181" t="s">
        <v>71</v>
      </c>
      <c r="E181" t="s">
        <v>510</v>
      </c>
      <c r="F181" t="s">
        <v>14</v>
      </c>
      <c r="G181" t="s">
        <v>521</v>
      </c>
    </row>
    <row r="182" spans="3:11" x14ac:dyDescent="0.25">
      <c r="J182" t="s">
        <v>239</v>
      </c>
      <c r="K182" t="s">
        <v>10</v>
      </c>
    </row>
    <row r="183" spans="3:11" x14ac:dyDescent="0.25">
      <c r="J183" t="s">
        <v>249</v>
      </c>
      <c r="K183" t="s">
        <v>10</v>
      </c>
    </row>
    <row r="184" spans="3:11" x14ac:dyDescent="0.25">
      <c r="J184" t="s">
        <v>240</v>
      </c>
      <c r="K184" t="s">
        <v>10</v>
      </c>
    </row>
    <row r="185" spans="3:11" x14ac:dyDescent="0.25">
      <c r="J185" t="s">
        <v>250</v>
      </c>
    </row>
    <row r="186" spans="3:11" x14ac:dyDescent="0.25">
      <c r="J186" t="s">
        <v>245</v>
      </c>
    </row>
    <row r="187" spans="3:11" x14ac:dyDescent="0.25">
      <c r="J187" t="s">
        <v>248</v>
      </c>
    </row>
    <row r="188" spans="3:11" x14ac:dyDescent="0.25">
      <c r="J188" t="s">
        <v>246</v>
      </c>
    </row>
    <row r="189" spans="3:11" x14ac:dyDescent="0.25">
      <c r="D189" t="s">
        <v>72</v>
      </c>
      <c r="E189" t="s">
        <v>510</v>
      </c>
      <c r="F189" t="s">
        <v>14</v>
      </c>
      <c r="G189" t="s">
        <v>521</v>
      </c>
    </row>
    <row r="190" spans="3:11" x14ac:dyDescent="0.25">
      <c r="J190" t="s">
        <v>239</v>
      </c>
      <c r="K190" t="s">
        <v>10</v>
      </c>
    </row>
    <row r="191" spans="3:11" x14ac:dyDescent="0.25">
      <c r="J191" t="s">
        <v>249</v>
      </c>
      <c r="K191" t="s">
        <v>10</v>
      </c>
    </row>
    <row r="192" spans="3:11" x14ac:dyDescent="0.25">
      <c r="J192" t="s">
        <v>240</v>
      </c>
      <c r="K192" t="s">
        <v>10</v>
      </c>
    </row>
    <row r="193" spans="3:11" x14ac:dyDescent="0.25">
      <c r="J193" t="s">
        <v>250</v>
      </c>
    </row>
    <row r="194" spans="3:11" x14ac:dyDescent="0.25">
      <c r="J194" t="s">
        <v>245</v>
      </c>
    </row>
    <row r="195" spans="3:11" x14ac:dyDescent="0.25">
      <c r="J195" t="s">
        <v>248</v>
      </c>
    </row>
    <row r="196" spans="3:11" x14ac:dyDescent="0.25">
      <c r="J196" t="s">
        <v>246</v>
      </c>
    </row>
    <row r="197" spans="3:11" x14ac:dyDescent="0.25">
      <c r="C197" t="s">
        <v>73</v>
      </c>
    </row>
    <row r="198" spans="3:11" x14ac:dyDescent="0.25">
      <c r="D198" t="s">
        <v>74</v>
      </c>
      <c r="E198" t="s">
        <v>510</v>
      </c>
      <c r="F198" t="s">
        <v>10</v>
      </c>
      <c r="G198" t="s">
        <v>521</v>
      </c>
    </row>
    <row r="199" spans="3:11" x14ac:dyDescent="0.25">
      <c r="J199" t="s">
        <v>243</v>
      </c>
      <c r="K199" t="s">
        <v>10</v>
      </c>
    </row>
    <row r="200" spans="3:11" x14ac:dyDescent="0.25">
      <c r="J200" t="s">
        <v>235</v>
      </c>
      <c r="K200" t="s">
        <v>10</v>
      </c>
    </row>
    <row r="201" spans="3:11" x14ac:dyDescent="0.25">
      <c r="D201" t="s">
        <v>75</v>
      </c>
      <c r="E201" t="s">
        <v>510</v>
      </c>
      <c r="F201" t="s">
        <v>10</v>
      </c>
      <c r="G201" t="s">
        <v>521</v>
      </c>
    </row>
    <row r="202" spans="3:11" x14ac:dyDescent="0.25">
      <c r="J202" t="s">
        <v>243</v>
      </c>
      <c r="K202" t="s">
        <v>10</v>
      </c>
    </row>
    <row r="203" spans="3:11" x14ac:dyDescent="0.25">
      <c r="J203" t="s">
        <v>235</v>
      </c>
      <c r="K203" t="s">
        <v>10</v>
      </c>
    </row>
    <row r="204" spans="3:11" x14ac:dyDescent="0.25">
      <c r="D204" t="s">
        <v>76</v>
      </c>
      <c r="E204" t="s">
        <v>510</v>
      </c>
      <c r="F204" t="s">
        <v>10</v>
      </c>
      <c r="G204" t="s">
        <v>521</v>
      </c>
    </row>
    <row r="205" spans="3:11" x14ac:dyDescent="0.25">
      <c r="J205" t="s">
        <v>243</v>
      </c>
      <c r="K205" t="s">
        <v>10</v>
      </c>
    </row>
    <row r="206" spans="3:11" x14ac:dyDescent="0.25">
      <c r="J206" t="s">
        <v>235</v>
      </c>
      <c r="K206" t="s">
        <v>10</v>
      </c>
    </row>
    <row r="207" spans="3:11" x14ac:dyDescent="0.25">
      <c r="C207" t="s">
        <v>77</v>
      </c>
    </row>
    <row r="208" spans="3:11" x14ac:dyDescent="0.25">
      <c r="D208" t="s">
        <v>78</v>
      </c>
      <c r="E208" t="s">
        <v>510</v>
      </c>
      <c r="F208" t="s">
        <v>19</v>
      </c>
      <c r="G208" t="s">
        <v>521</v>
      </c>
    </row>
    <row r="209" spans="3:11" x14ac:dyDescent="0.25">
      <c r="J209" t="s">
        <v>239</v>
      </c>
      <c r="K209" t="s">
        <v>10</v>
      </c>
    </row>
    <row r="210" spans="3:11" x14ac:dyDescent="0.25">
      <c r="J210" t="s">
        <v>249</v>
      </c>
      <c r="K210" t="s">
        <v>10</v>
      </c>
    </row>
    <row r="211" spans="3:11" x14ac:dyDescent="0.25">
      <c r="J211" t="s">
        <v>240</v>
      </c>
      <c r="K211" t="s">
        <v>10</v>
      </c>
    </row>
    <row r="212" spans="3:11" x14ac:dyDescent="0.25">
      <c r="J212" t="s">
        <v>250</v>
      </c>
    </row>
    <row r="213" spans="3:11" x14ac:dyDescent="0.25">
      <c r="J213" t="s">
        <v>245</v>
      </c>
    </row>
    <row r="214" spans="3:11" x14ac:dyDescent="0.25">
      <c r="J214" t="s">
        <v>248</v>
      </c>
    </row>
    <row r="215" spans="3:11" x14ac:dyDescent="0.25">
      <c r="J215" t="s">
        <v>246</v>
      </c>
    </row>
    <row r="216" spans="3:11" x14ac:dyDescent="0.25">
      <c r="D216" t="s">
        <v>79</v>
      </c>
      <c r="E216" t="s">
        <v>510</v>
      </c>
      <c r="F216" t="s">
        <v>19</v>
      </c>
      <c r="G216" t="s">
        <v>521</v>
      </c>
    </row>
    <row r="217" spans="3:11" x14ac:dyDescent="0.25">
      <c r="J217" t="s">
        <v>239</v>
      </c>
      <c r="K217" t="s">
        <v>10</v>
      </c>
    </row>
    <row r="218" spans="3:11" x14ac:dyDescent="0.25">
      <c r="J218" t="s">
        <v>249</v>
      </c>
      <c r="K218" t="s">
        <v>10</v>
      </c>
    </row>
    <row r="219" spans="3:11" x14ac:dyDescent="0.25">
      <c r="J219" t="s">
        <v>240</v>
      </c>
      <c r="K219" t="s">
        <v>10</v>
      </c>
    </row>
    <row r="220" spans="3:11" x14ac:dyDescent="0.25">
      <c r="J220" t="s">
        <v>250</v>
      </c>
    </row>
    <row r="221" spans="3:11" x14ac:dyDescent="0.25">
      <c r="J221" t="s">
        <v>245</v>
      </c>
    </row>
    <row r="222" spans="3:11" x14ac:dyDescent="0.25">
      <c r="J222" t="s">
        <v>248</v>
      </c>
    </row>
    <row r="223" spans="3:11" x14ac:dyDescent="0.25">
      <c r="J223" t="s">
        <v>246</v>
      </c>
    </row>
    <row r="224" spans="3:11" x14ac:dyDescent="0.25">
      <c r="C224" t="s">
        <v>80</v>
      </c>
    </row>
    <row r="225" spans="4:11" x14ac:dyDescent="0.25">
      <c r="D225" t="s">
        <v>81</v>
      </c>
      <c r="E225" t="s">
        <v>510</v>
      </c>
      <c r="F225" t="s">
        <v>14</v>
      </c>
      <c r="G225" t="s">
        <v>521</v>
      </c>
    </row>
    <row r="226" spans="4:11" x14ac:dyDescent="0.25">
      <c r="J226" t="s">
        <v>239</v>
      </c>
      <c r="K226" t="s">
        <v>10</v>
      </c>
    </row>
    <row r="227" spans="4:11" x14ac:dyDescent="0.25">
      <c r="J227" t="s">
        <v>249</v>
      </c>
      <c r="K227" t="s">
        <v>10</v>
      </c>
    </row>
    <row r="228" spans="4:11" x14ac:dyDescent="0.25">
      <c r="J228" t="s">
        <v>240</v>
      </c>
      <c r="K228" t="s">
        <v>10</v>
      </c>
    </row>
    <row r="229" spans="4:11" x14ac:dyDescent="0.25">
      <c r="J229" t="s">
        <v>250</v>
      </c>
    </row>
    <row r="230" spans="4:11" x14ac:dyDescent="0.25">
      <c r="J230" t="s">
        <v>245</v>
      </c>
    </row>
    <row r="231" spans="4:11" x14ac:dyDescent="0.25">
      <c r="J231" t="s">
        <v>248</v>
      </c>
    </row>
    <row r="232" spans="4:11" x14ac:dyDescent="0.25">
      <c r="J232" t="s">
        <v>246</v>
      </c>
    </row>
    <row r="233" spans="4:11" x14ac:dyDescent="0.25">
      <c r="D233" t="s">
        <v>82</v>
      </c>
      <c r="E233" t="s">
        <v>510</v>
      </c>
      <c r="F233" t="s">
        <v>14</v>
      </c>
      <c r="G233" t="s">
        <v>521</v>
      </c>
    </row>
    <row r="234" spans="4:11" x14ac:dyDescent="0.25">
      <c r="J234" t="s">
        <v>239</v>
      </c>
      <c r="K234" t="s">
        <v>10</v>
      </c>
    </row>
    <row r="235" spans="4:11" x14ac:dyDescent="0.25">
      <c r="J235" t="s">
        <v>249</v>
      </c>
      <c r="K235" t="s">
        <v>10</v>
      </c>
    </row>
    <row r="236" spans="4:11" x14ac:dyDescent="0.25">
      <c r="J236" t="s">
        <v>240</v>
      </c>
      <c r="K236" t="s">
        <v>10</v>
      </c>
    </row>
    <row r="237" spans="4:11" x14ac:dyDescent="0.25">
      <c r="J237" t="s">
        <v>250</v>
      </c>
    </row>
    <row r="238" spans="4:11" x14ac:dyDescent="0.25">
      <c r="J238" t="s">
        <v>245</v>
      </c>
    </row>
    <row r="239" spans="4:11" x14ac:dyDescent="0.25">
      <c r="J239" t="s">
        <v>248</v>
      </c>
    </row>
    <row r="240" spans="4:11" x14ac:dyDescent="0.25">
      <c r="J240" t="s">
        <v>246</v>
      </c>
    </row>
    <row r="241" spans="3:11" x14ac:dyDescent="0.25">
      <c r="C241" t="s">
        <v>83</v>
      </c>
    </row>
    <row r="242" spans="3:11" x14ac:dyDescent="0.25">
      <c r="D242" t="s">
        <v>84</v>
      </c>
      <c r="E242" t="s">
        <v>510</v>
      </c>
      <c r="F242" t="s">
        <v>19</v>
      </c>
      <c r="G242" t="s">
        <v>521</v>
      </c>
    </row>
    <row r="243" spans="3:11" x14ac:dyDescent="0.25">
      <c r="J243" t="s">
        <v>239</v>
      </c>
      <c r="K243" t="s">
        <v>10</v>
      </c>
    </row>
    <row r="244" spans="3:11" x14ac:dyDescent="0.25">
      <c r="J244" t="s">
        <v>249</v>
      </c>
      <c r="K244" t="s">
        <v>10</v>
      </c>
    </row>
    <row r="245" spans="3:11" x14ac:dyDescent="0.25">
      <c r="J245" t="s">
        <v>240</v>
      </c>
      <c r="K245" t="s">
        <v>10</v>
      </c>
    </row>
    <row r="246" spans="3:11" x14ac:dyDescent="0.25">
      <c r="J246" t="s">
        <v>250</v>
      </c>
    </row>
    <row r="247" spans="3:11" x14ac:dyDescent="0.25">
      <c r="J247" t="s">
        <v>245</v>
      </c>
    </row>
    <row r="248" spans="3:11" x14ac:dyDescent="0.25">
      <c r="J248" t="s">
        <v>248</v>
      </c>
    </row>
    <row r="249" spans="3:11" x14ac:dyDescent="0.25">
      <c r="J249" t="s">
        <v>246</v>
      </c>
    </row>
    <row r="250" spans="3:11" x14ac:dyDescent="0.25">
      <c r="D250" t="s">
        <v>85</v>
      </c>
      <c r="E250" t="s">
        <v>510</v>
      </c>
      <c r="F250" t="s">
        <v>19</v>
      </c>
      <c r="G250" t="s">
        <v>521</v>
      </c>
    </row>
    <row r="251" spans="3:11" x14ac:dyDescent="0.25">
      <c r="J251" t="s">
        <v>239</v>
      </c>
      <c r="K251" t="s">
        <v>10</v>
      </c>
    </row>
    <row r="252" spans="3:11" x14ac:dyDescent="0.25">
      <c r="J252" t="s">
        <v>249</v>
      </c>
      <c r="K252" t="s">
        <v>10</v>
      </c>
    </row>
    <row r="253" spans="3:11" x14ac:dyDescent="0.25">
      <c r="J253" t="s">
        <v>240</v>
      </c>
      <c r="K253" t="s">
        <v>10</v>
      </c>
    </row>
    <row r="254" spans="3:11" x14ac:dyDescent="0.25">
      <c r="J254" t="s">
        <v>250</v>
      </c>
    </row>
    <row r="255" spans="3:11" x14ac:dyDescent="0.25">
      <c r="J255" t="s">
        <v>245</v>
      </c>
    </row>
    <row r="256" spans="3:11" x14ac:dyDescent="0.25">
      <c r="J256" t="s">
        <v>248</v>
      </c>
    </row>
    <row r="257" spans="2:11" x14ac:dyDescent="0.25">
      <c r="J257" t="s">
        <v>246</v>
      </c>
    </row>
    <row r="258" spans="2:11" x14ac:dyDescent="0.25">
      <c r="D258" t="s">
        <v>86</v>
      </c>
      <c r="E258" t="s">
        <v>510</v>
      </c>
      <c r="F258" t="s">
        <v>19</v>
      </c>
      <c r="G258" t="s">
        <v>521</v>
      </c>
    </row>
    <row r="259" spans="2:11" x14ac:dyDescent="0.25">
      <c r="J259" t="s">
        <v>239</v>
      </c>
      <c r="K259" t="s">
        <v>10</v>
      </c>
    </row>
    <row r="260" spans="2:11" x14ac:dyDescent="0.25">
      <c r="J260" t="s">
        <v>249</v>
      </c>
      <c r="K260" t="s">
        <v>10</v>
      </c>
    </row>
    <row r="261" spans="2:11" x14ac:dyDescent="0.25">
      <c r="J261" t="s">
        <v>240</v>
      </c>
      <c r="K261" t="s">
        <v>10</v>
      </c>
    </row>
    <row r="262" spans="2:11" x14ac:dyDescent="0.25">
      <c r="J262" t="s">
        <v>250</v>
      </c>
    </row>
    <row r="263" spans="2:11" x14ac:dyDescent="0.25">
      <c r="J263" t="s">
        <v>245</v>
      </c>
    </row>
    <row r="264" spans="2:11" x14ac:dyDescent="0.25">
      <c r="J264" t="s">
        <v>248</v>
      </c>
    </row>
    <row r="265" spans="2:11" x14ac:dyDescent="0.25">
      <c r="J265" t="s">
        <v>246</v>
      </c>
    </row>
    <row r="266" spans="2:11" x14ac:dyDescent="0.25">
      <c r="B266" t="s">
        <v>87</v>
      </c>
    </row>
    <row r="267" spans="2:11" x14ac:dyDescent="0.25">
      <c r="C267" t="s">
        <v>88</v>
      </c>
    </row>
    <row r="268" spans="2:11" x14ac:dyDescent="0.25">
      <c r="D268" t="s">
        <v>89</v>
      </c>
      <c r="E268" t="s">
        <v>510</v>
      </c>
      <c r="F268" t="s">
        <v>9</v>
      </c>
      <c r="G268" t="s">
        <v>521</v>
      </c>
    </row>
    <row r="269" spans="2:11" x14ac:dyDescent="0.25">
      <c r="J269" t="s">
        <v>236</v>
      </c>
      <c r="K269" t="s">
        <v>10</v>
      </c>
    </row>
    <row r="270" spans="2:11" x14ac:dyDescent="0.25">
      <c r="J270" t="s">
        <v>234</v>
      </c>
      <c r="K270" t="s">
        <v>9</v>
      </c>
    </row>
    <row r="271" spans="2:11" x14ac:dyDescent="0.25">
      <c r="J271" t="s">
        <v>235</v>
      </c>
      <c r="K271" t="s">
        <v>10</v>
      </c>
    </row>
    <row r="272" spans="2:11" x14ac:dyDescent="0.25">
      <c r="D272" t="s">
        <v>90</v>
      </c>
      <c r="E272" t="s">
        <v>510</v>
      </c>
      <c r="F272" t="s">
        <v>9</v>
      </c>
      <c r="G272" t="s">
        <v>521</v>
      </c>
    </row>
    <row r="273" spans="3:11" x14ac:dyDescent="0.25">
      <c r="J273" t="s">
        <v>236</v>
      </c>
      <c r="K273" t="s">
        <v>10</v>
      </c>
    </row>
    <row r="274" spans="3:11" x14ac:dyDescent="0.25">
      <c r="J274" t="s">
        <v>237</v>
      </c>
      <c r="K274" t="s">
        <v>10</v>
      </c>
    </row>
    <row r="275" spans="3:11" x14ac:dyDescent="0.25">
      <c r="J275" t="s">
        <v>238</v>
      </c>
      <c r="K275" t="s">
        <v>10</v>
      </c>
    </row>
    <row r="276" spans="3:11" x14ac:dyDescent="0.25">
      <c r="C276" t="s">
        <v>91</v>
      </c>
    </row>
    <row r="277" spans="3:11" x14ac:dyDescent="0.25">
      <c r="D277" t="s">
        <v>92</v>
      </c>
      <c r="E277" t="s">
        <v>510</v>
      </c>
      <c r="F277" t="s">
        <v>14</v>
      </c>
      <c r="G277" t="s">
        <v>521</v>
      </c>
    </row>
    <row r="278" spans="3:11" x14ac:dyDescent="0.25">
      <c r="J278" t="s">
        <v>239</v>
      </c>
      <c r="K278" t="s">
        <v>10</v>
      </c>
    </row>
    <row r="279" spans="3:11" x14ac:dyDescent="0.25">
      <c r="J279" t="s">
        <v>249</v>
      </c>
      <c r="K279" t="s">
        <v>10</v>
      </c>
    </row>
    <row r="280" spans="3:11" x14ac:dyDescent="0.25">
      <c r="J280" t="s">
        <v>240</v>
      </c>
      <c r="K280" t="s">
        <v>10</v>
      </c>
    </row>
    <row r="281" spans="3:11" x14ac:dyDescent="0.25">
      <c r="J281" t="s">
        <v>250</v>
      </c>
    </row>
    <row r="282" spans="3:11" x14ac:dyDescent="0.25">
      <c r="J282" t="s">
        <v>245</v>
      </c>
    </row>
    <row r="283" spans="3:11" x14ac:dyDescent="0.25">
      <c r="J283" t="s">
        <v>248</v>
      </c>
    </row>
    <row r="284" spans="3:11" x14ac:dyDescent="0.25">
      <c r="J284" t="s">
        <v>246</v>
      </c>
    </row>
    <row r="285" spans="3:11" x14ac:dyDescent="0.25">
      <c r="D285" t="s">
        <v>93</v>
      </c>
      <c r="E285" t="s">
        <v>510</v>
      </c>
      <c r="F285" t="s">
        <v>14</v>
      </c>
      <c r="G285" t="s">
        <v>521</v>
      </c>
    </row>
    <row r="286" spans="3:11" x14ac:dyDescent="0.25">
      <c r="J286" t="s">
        <v>239</v>
      </c>
      <c r="K286" t="s">
        <v>10</v>
      </c>
    </row>
    <row r="287" spans="3:11" x14ac:dyDescent="0.25">
      <c r="J287" t="s">
        <v>249</v>
      </c>
      <c r="K287" t="s">
        <v>10</v>
      </c>
    </row>
    <row r="288" spans="3:11" x14ac:dyDescent="0.25">
      <c r="J288" t="s">
        <v>240</v>
      </c>
      <c r="K288" t="s">
        <v>10</v>
      </c>
    </row>
    <row r="289" spans="3:11" x14ac:dyDescent="0.25">
      <c r="J289" t="s">
        <v>250</v>
      </c>
    </row>
    <row r="290" spans="3:11" x14ac:dyDescent="0.25">
      <c r="J290" t="s">
        <v>245</v>
      </c>
    </row>
    <row r="291" spans="3:11" x14ac:dyDescent="0.25">
      <c r="J291" t="s">
        <v>248</v>
      </c>
    </row>
    <row r="292" spans="3:11" x14ac:dyDescent="0.25">
      <c r="J292" t="s">
        <v>246</v>
      </c>
    </row>
    <row r="293" spans="3:11" x14ac:dyDescent="0.25">
      <c r="C293" t="s">
        <v>94</v>
      </c>
    </row>
    <row r="294" spans="3:11" x14ac:dyDescent="0.25">
      <c r="D294" t="s">
        <v>95</v>
      </c>
      <c r="E294" t="s">
        <v>510</v>
      </c>
      <c r="F294" t="s">
        <v>10</v>
      </c>
      <c r="G294" t="s">
        <v>521</v>
      </c>
    </row>
    <row r="295" spans="3:11" x14ac:dyDescent="0.25">
      <c r="J295" t="s">
        <v>243</v>
      </c>
      <c r="K295" t="s">
        <v>10</v>
      </c>
    </row>
    <row r="296" spans="3:11" x14ac:dyDescent="0.25">
      <c r="J296" t="s">
        <v>235</v>
      </c>
      <c r="K296" t="s">
        <v>10</v>
      </c>
    </row>
    <row r="297" spans="3:11" x14ac:dyDescent="0.25">
      <c r="D297" t="s">
        <v>96</v>
      </c>
      <c r="E297" t="s">
        <v>510</v>
      </c>
      <c r="F297" t="s">
        <v>10</v>
      </c>
      <c r="G297" t="s">
        <v>521</v>
      </c>
    </row>
    <row r="298" spans="3:11" x14ac:dyDescent="0.25">
      <c r="J298" t="s">
        <v>243</v>
      </c>
      <c r="K298" t="s">
        <v>10</v>
      </c>
    </row>
    <row r="299" spans="3:11" x14ac:dyDescent="0.25">
      <c r="J299" t="s">
        <v>235</v>
      </c>
      <c r="K299" t="s">
        <v>10</v>
      </c>
    </row>
    <row r="300" spans="3:11" x14ac:dyDescent="0.25">
      <c r="D300" t="s">
        <v>97</v>
      </c>
      <c r="E300" t="s">
        <v>510</v>
      </c>
      <c r="F300" t="s">
        <v>10</v>
      </c>
      <c r="G300" t="s">
        <v>521</v>
      </c>
    </row>
    <row r="301" spans="3:11" x14ac:dyDescent="0.25">
      <c r="J301" t="s">
        <v>243</v>
      </c>
      <c r="K301" t="s">
        <v>10</v>
      </c>
    </row>
    <row r="302" spans="3:11" x14ac:dyDescent="0.25">
      <c r="J302" t="s">
        <v>235</v>
      </c>
      <c r="K302" t="s">
        <v>10</v>
      </c>
    </row>
    <row r="303" spans="3:11" x14ac:dyDescent="0.25">
      <c r="C303" t="s">
        <v>98</v>
      </c>
    </row>
    <row r="304" spans="3:11" x14ac:dyDescent="0.25">
      <c r="D304" t="s">
        <v>99</v>
      </c>
      <c r="E304" t="s">
        <v>510</v>
      </c>
      <c r="F304" t="s">
        <v>19</v>
      </c>
      <c r="G304" t="s">
        <v>521</v>
      </c>
    </row>
    <row r="305" spans="4:11" x14ac:dyDescent="0.25">
      <c r="J305" t="s">
        <v>239</v>
      </c>
      <c r="K305" t="s">
        <v>10</v>
      </c>
    </row>
    <row r="306" spans="4:11" x14ac:dyDescent="0.25">
      <c r="J306" t="s">
        <v>249</v>
      </c>
      <c r="K306" t="s">
        <v>10</v>
      </c>
    </row>
    <row r="307" spans="4:11" x14ac:dyDescent="0.25">
      <c r="J307" t="s">
        <v>240</v>
      </c>
      <c r="K307" t="s">
        <v>10</v>
      </c>
    </row>
    <row r="308" spans="4:11" x14ac:dyDescent="0.25">
      <c r="J308" t="s">
        <v>250</v>
      </c>
    </row>
    <row r="309" spans="4:11" x14ac:dyDescent="0.25">
      <c r="J309" t="s">
        <v>245</v>
      </c>
    </row>
    <row r="310" spans="4:11" x14ac:dyDescent="0.25">
      <c r="J310" t="s">
        <v>248</v>
      </c>
    </row>
    <row r="311" spans="4:11" x14ac:dyDescent="0.25">
      <c r="J311" t="s">
        <v>246</v>
      </c>
    </row>
    <row r="312" spans="4:11" x14ac:dyDescent="0.25">
      <c r="D312" t="s">
        <v>100</v>
      </c>
      <c r="E312" t="s">
        <v>510</v>
      </c>
      <c r="F312" t="s">
        <v>19</v>
      </c>
      <c r="G312" t="s">
        <v>521</v>
      </c>
    </row>
    <row r="313" spans="4:11" x14ac:dyDescent="0.25">
      <c r="J313" t="s">
        <v>239</v>
      </c>
      <c r="K313" t="s">
        <v>10</v>
      </c>
    </row>
    <row r="314" spans="4:11" x14ac:dyDescent="0.25">
      <c r="J314" t="s">
        <v>249</v>
      </c>
      <c r="K314" t="s">
        <v>10</v>
      </c>
    </row>
    <row r="315" spans="4:11" x14ac:dyDescent="0.25">
      <c r="J315" t="s">
        <v>240</v>
      </c>
      <c r="K315" t="s">
        <v>10</v>
      </c>
    </row>
    <row r="316" spans="4:11" x14ac:dyDescent="0.25">
      <c r="J316" t="s">
        <v>250</v>
      </c>
    </row>
    <row r="317" spans="4:11" x14ac:dyDescent="0.25">
      <c r="J317" t="s">
        <v>245</v>
      </c>
    </row>
    <row r="318" spans="4:11" x14ac:dyDescent="0.25">
      <c r="J318" t="s">
        <v>248</v>
      </c>
    </row>
    <row r="319" spans="4:11" x14ac:dyDescent="0.25">
      <c r="J319" t="s">
        <v>246</v>
      </c>
    </row>
    <row r="320" spans="4:11" x14ac:dyDescent="0.25">
      <c r="D320" t="s">
        <v>101</v>
      </c>
      <c r="E320" t="s">
        <v>510</v>
      </c>
      <c r="F320" t="s">
        <v>19</v>
      </c>
      <c r="G320" t="s">
        <v>521</v>
      </c>
    </row>
    <row r="321" spans="3:11" x14ac:dyDescent="0.25">
      <c r="J321" t="s">
        <v>239</v>
      </c>
      <c r="K321" t="s">
        <v>10</v>
      </c>
    </row>
    <row r="322" spans="3:11" x14ac:dyDescent="0.25">
      <c r="J322" t="s">
        <v>249</v>
      </c>
      <c r="K322" t="s">
        <v>10</v>
      </c>
    </row>
    <row r="323" spans="3:11" x14ac:dyDescent="0.25">
      <c r="J323" t="s">
        <v>240</v>
      </c>
      <c r="K323" t="s">
        <v>10</v>
      </c>
    </row>
    <row r="324" spans="3:11" x14ac:dyDescent="0.25">
      <c r="J324" t="s">
        <v>250</v>
      </c>
    </row>
    <row r="325" spans="3:11" x14ac:dyDescent="0.25">
      <c r="J325" t="s">
        <v>245</v>
      </c>
    </row>
    <row r="326" spans="3:11" x14ac:dyDescent="0.25">
      <c r="J326" t="s">
        <v>248</v>
      </c>
    </row>
    <row r="327" spans="3:11" x14ac:dyDescent="0.25">
      <c r="J327" t="s">
        <v>246</v>
      </c>
    </row>
    <row r="328" spans="3:11" x14ac:dyDescent="0.25">
      <c r="C328" t="s">
        <v>102</v>
      </c>
    </row>
    <row r="329" spans="3:11" x14ac:dyDescent="0.25">
      <c r="D329" t="s">
        <v>103</v>
      </c>
      <c r="E329" t="s">
        <v>510</v>
      </c>
      <c r="F329" t="s">
        <v>14</v>
      </c>
      <c r="G329" t="s">
        <v>521</v>
      </c>
    </row>
    <row r="330" spans="3:11" x14ac:dyDescent="0.25">
      <c r="J330" t="s">
        <v>239</v>
      </c>
      <c r="K330" t="s">
        <v>10</v>
      </c>
    </row>
    <row r="331" spans="3:11" x14ac:dyDescent="0.25">
      <c r="J331" t="s">
        <v>249</v>
      </c>
      <c r="K331" t="s">
        <v>10</v>
      </c>
    </row>
    <row r="332" spans="3:11" x14ac:dyDescent="0.25">
      <c r="J332" t="s">
        <v>240</v>
      </c>
      <c r="K332" t="s">
        <v>10</v>
      </c>
    </row>
    <row r="333" spans="3:11" x14ac:dyDescent="0.25">
      <c r="J333" t="s">
        <v>250</v>
      </c>
    </row>
    <row r="334" spans="3:11" x14ac:dyDescent="0.25">
      <c r="J334" t="s">
        <v>245</v>
      </c>
    </row>
    <row r="335" spans="3:11" x14ac:dyDescent="0.25">
      <c r="J335" t="s">
        <v>248</v>
      </c>
    </row>
    <row r="336" spans="3:11" x14ac:dyDescent="0.25">
      <c r="J336" t="s">
        <v>246</v>
      </c>
    </row>
    <row r="337" spans="4:11" x14ac:dyDescent="0.25">
      <c r="D337" t="s">
        <v>104</v>
      </c>
      <c r="E337" t="s">
        <v>510</v>
      </c>
      <c r="F337" t="s">
        <v>14</v>
      </c>
      <c r="G337" t="s">
        <v>521</v>
      </c>
    </row>
    <row r="338" spans="4:11" x14ac:dyDescent="0.25">
      <c r="J338" t="s">
        <v>239</v>
      </c>
      <c r="K338" t="s">
        <v>10</v>
      </c>
    </row>
    <row r="339" spans="4:11" x14ac:dyDescent="0.25">
      <c r="J339" t="s">
        <v>249</v>
      </c>
      <c r="K339" t="s">
        <v>10</v>
      </c>
    </row>
    <row r="340" spans="4:11" x14ac:dyDescent="0.25">
      <c r="J340" t="s">
        <v>240</v>
      </c>
      <c r="K340" t="s">
        <v>10</v>
      </c>
    </row>
    <row r="341" spans="4:11" x14ac:dyDescent="0.25">
      <c r="J341" t="s">
        <v>250</v>
      </c>
    </row>
    <row r="342" spans="4:11" x14ac:dyDescent="0.25">
      <c r="J342" t="s">
        <v>245</v>
      </c>
    </row>
    <row r="343" spans="4:11" x14ac:dyDescent="0.25">
      <c r="J343" t="s">
        <v>248</v>
      </c>
    </row>
    <row r="344" spans="4:11" x14ac:dyDescent="0.25">
      <c r="J344" t="s">
        <v>246</v>
      </c>
    </row>
    <row r="345" spans="4:11" x14ac:dyDescent="0.25">
      <c r="D345" t="s">
        <v>105</v>
      </c>
      <c r="E345" t="s">
        <v>510</v>
      </c>
      <c r="F345" t="s">
        <v>14</v>
      </c>
      <c r="G345" t="s">
        <v>521</v>
      </c>
    </row>
    <row r="346" spans="4:11" x14ac:dyDescent="0.25">
      <c r="J346" t="s">
        <v>239</v>
      </c>
      <c r="K346" t="s">
        <v>10</v>
      </c>
    </row>
    <row r="347" spans="4:11" x14ac:dyDescent="0.25">
      <c r="J347" t="s">
        <v>249</v>
      </c>
      <c r="K347" t="s">
        <v>10</v>
      </c>
    </row>
    <row r="348" spans="4:11" x14ac:dyDescent="0.25">
      <c r="J348" t="s">
        <v>240</v>
      </c>
      <c r="K348" t="s">
        <v>10</v>
      </c>
    </row>
    <row r="349" spans="4:11" x14ac:dyDescent="0.25">
      <c r="J349" t="s">
        <v>250</v>
      </c>
    </row>
    <row r="350" spans="4:11" x14ac:dyDescent="0.25">
      <c r="J350" t="s">
        <v>245</v>
      </c>
    </row>
    <row r="351" spans="4:11" x14ac:dyDescent="0.25">
      <c r="J351" t="s">
        <v>248</v>
      </c>
    </row>
    <row r="352" spans="4:11" x14ac:dyDescent="0.25">
      <c r="J352" t="s">
        <v>246</v>
      </c>
    </row>
    <row r="353" spans="3:11" x14ac:dyDescent="0.25">
      <c r="C353" t="s">
        <v>106</v>
      </c>
    </row>
    <row r="354" spans="3:11" x14ac:dyDescent="0.25">
      <c r="D354" t="s">
        <v>107</v>
      </c>
      <c r="E354" t="s">
        <v>510</v>
      </c>
      <c r="F354" t="s">
        <v>19</v>
      </c>
      <c r="G354" t="s">
        <v>521</v>
      </c>
    </row>
    <row r="355" spans="3:11" x14ac:dyDescent="0.25">
      <c r="J355" t="s">
        <v>239</v>
      </c>
      <c r="K355" t="s">
        <v>10</v>
      </c>
    </row>
    <row r="356" spans="3:11" x14ac:dyDescent="0.25">
      <c r="J356" t="s">
        <v>249</v>
      </c>
      <c r="K356" t="s">
        <v>10</v>
      </c>
    </row>
    <row r="357" spans="3:11" x14ac:dyDescent="0.25">
      <c r="J357" t="s">
        <v>240</v>
      </c>
      <c r="K357" t="s">
        <v>10</v>
      </c>
    </row>
    <row r="358" spans="3:11" x14ac:dyDescent="0.25">
      <c r="J358" t="s">
        <v>250</v>
      </c>
    </row>
    <row r="359" spans="3:11" x14ac:dyDescent="0.25">
      <c r="J359" t="s">
        <v>245</v>
      </c>
    </row>
    <row r="360" spans="3:11" x14ac:dyDescent="0.25">
      <c r="J360" t="s">
        <v>248</v>
      </c>
    </row>
    <row r="361" spans="3:11" x14ac:dyDescent="0.25">
      <c r="J361" t="s">
        <v>246</v>
      </c>
    </row>
    <row r="362" spans="3:11" x14ac:dyDescent="0.25">
      <c r="D362" t="s">
        <v>108</v>
      </c>
      <c r="E362" t="s">
        <v>510</v>
      </c>
      <c r="F362" t="s">
        <v>19</v>
      </c>
      <c r="G362" t="s">
        <v>521</v>
      </c>
    </row>
    <row r="363" spans="3:11" x14ac:dyDescent="0.25">
      <c r="J363" t="s">
        <v>239</v>
      </c>
      <c r="K363" t="s">
        <v>10</v>
      </c>
    </row>
    <row r="364" spans="3:11" x14ac:dyDescent="0.25">
      <c r="J364" t="s">
        <v>249</v>
      </c>
      <c r="K364" t="s">
        <v>10</v>
      </c>
    </row>
    <row r="365" spans="3:11" x14ac:dyDescent="0.25">
      <c r="J365" t="s">
        <v>240</v>
      </c>
      <c r="K365" t="s">
        <v>10</v>
      </c>
    </row>
    <row r="366" spans="3:11" x14ac:dyDescent="0.25">
      <c r="J366" t="s">
        <v>250</v>
      </c>
    </row>
    <row r="367" spans="3:11" x14ac:dyDescent="0.25">
      <c r="J367" t="s">
        <v>245</v>
      </c>
    </row>
    <row r="368" spans="3:11" x14ac:dyDescent="0.25">
      <c r="J368" t="s">
        <v>248</v>
      </c>
    </row>
    <row r="369" spans="4:11" x14ac:dyDescent="0.25">
      <c r="J369" t="s">
        <v>246</v>
      </c>
    </row>
    <row r="370" spans="4:11" x14ac:dyDescent="0.25">
      <c r="D370" t="s">
        <v>109</v>
      </c>
      <c r="E370" t="s">
        <v>510</v>
      </c>
      <c r="F370" t="s">
        <v>19</v>
      </c>
      <c r="G370" t="s">
        <v>521</v>
      </c>
    </row>
    <row r="371" spans="4:11" x14ac:dyDescent="0.25">
      <c r="J371" t="s">
        <v>239</v>
      </c>
      <c r="K371" t="s">
        <v>10</v>
      </c>
    </row>
    <row r="372" spans="4:11" x14ac:dyDescent="0.25">
      <c r="J372" t="s">
        <v>249</v>
      </c>
      <c r="K372" t="s">
        <v>10</v>
      </c>
    </row>
    <row r="373" spans="4:11" x14ac:dyDescent="0.25">
      <c r="J373" t="s">
        <v>240</v>
      </c>
      <c r="K373" t="s">
        <v>10</v>
      </c>
    </row>
    <row r="374" spans="4:11" x14ac:dyDescent="0.25">
      <c r="J374" t="s">
        <v>250</v>
      </c>
    </row>
    <row r="375" spans="4:11" x14ac:dyDescent="0.25">
      <c r="J375" t="s">
        <v>245</v>
      </c>
    </row>
    <row r="376" spans="4:11" x14ac:dyDescent="0.25">
      <c r="J376" t="s">
        <v>248</v>
      </c>
    </row>
    <row r="377" spans="4:11" x14ac:dyDescent="0.25">
      <c r="J377" t="s">
        <v>246</v>
      </c>
    </row>
    <row r="378" spans="4:11" x14ac:dyDescent="0.25">
      <c r="D378" t="s">
        <v>110</v>
      </c>
      <c r="E378" t="s">
        <v>510</v>
      </c>
      <c r="F378" t="s">
        <v>19</v>
      </c>
      <c r="G378" t="s">
        <v>521</v>
      </c>
    </row>
    <row r="379" spans="4:11" x14ac:dyDescent="0.25">
      <c r="J379" t="s">
        <v>239</v>
      </c>
      <c r="K379" t="s">
        <v>10</v>
      </c>
    </row>
    <row r="380" spans="4:11" x14ac:dyDescent="0.25">
      <c r="J380" t="s">
        <v>249</v>
      </c>
      <c r="K380" t="s">
        <v>10</v>
      </c>
    </row>
    <row r="381" spans="4:11" x14ac:dyDescent="0.25">
      <c r="J381" t="s">
        <v>240</v>
      </c>
      <c r="K381" t="s">
        <v>10</v>
      </c>
    </row>
    <row r="382" spans="4:11" x14ac:dyDescent="0.25">
      <c r="J382" t="s">
        <v>250</v>
      </c>
    </row>
    <row r="383" spans="4:11" x14ac:dyDescent="0.25">
      <c r="J383" t="s">
        <v>245</v>
      </c>
    </row>
    <row r="384" spans="4:11" x14ac:dyDescent="0.25">
      <c r="J384" t="s">
        <v>248</v>
      </c>
    </row>
    <row r="385" spans="2:11" x14ac:dyDescent="0.25">
      <c r="J385" t="s">
        <v>246</v>
      </c>
    </row>
    <row r="386" spans="2:11" x14ac:dyDescent="0.25">
      <c r="B386" t="s">
        <v>111</v>
      </c>
    </row>
    <row r="387" spans="2:11" x14ac:dyDescent="0.25">
      <c r="C387" t="s">
        <v>112</v>
      </c>
    </row>
    <row r="388" spans="2:11" x14ac:dyDescent="0.25">
      <c r="D388" t="s">
        <v>113</v>
      </c>
      <c r="E388" t="s">
        <v>510</v>
      </c>
      <c r="F388" t="s">
        <v>9</v>
      </c>
      <c r="G388" t="s">
        <v>521</v>
      </c>
    </row>
    <row r="389" spans="2:11" x14ac:dyDescent="0.25">
      <c r="J389" t="s">
        <v>236</v>
      </c>
      <c r="K389" t="s">
        <v>10</v>
      </c>
    </row>
    <row r="390" spans="2:11" x14ac:dyDescent="0.25">
      <c r="J390" t="s">
        <v>244</v>
      </c>
      <c r="K390" t="s">
        <v>9</v>
      </c>
    </row>
    <row r="391" spans="2:11" x14ac:dyDescent="0.25">
      <c r="D391" t="s">
        <v>114</v>
      </c>
      <c r="E391" t="s">
        <v>510</v>
      </c>
      <c r="F391" t="s">
        <v>9</v>
      </c>
      <c r="G391" t="s">
        <v>521</v>
      </c>
    </row>
    <row r="392" spans="2:11" x14ac:dyDescent="0.25">
      <c r="J392" t="s">
        <v>236</v>
      </c>
      <c r="K392" t="s">
        <v>10</v>
      </c>
    </row>
    <row r="393" spans="2:11" x14ac:dyDescent="0.25">
      <c r="J393" t="s">
        <v>234</v>
      </c>
      <c r="K393" t="s">
        <v>9</v>
      </c>
    </row>
    <row r="394" spans="2:11" x14ac:dyDescent="0.25">
      <c r="J394" t="s">
        <v>235</v>
      </c>
      <c r="K394" t="s">
        <v>10</v>
      </c>
    </row>
    <row r="395" spans="2:11" x14ac:dyDescent="0.25">
      <c r="D395" t="s">
        <v>115</v>
      </c>
      <c r="E395" t="s">
        <v>510</v>
      </c>
      <c r="F395" t="s">
        <v>9</v>
      </c>
      <c r="G395" t="s">
        <v>521</v>
      </c>
    </row>
    <row r="396" spans="2:11" x14ac:dyDescent="0.25">
      <c r="J396" t="s">
        <v>236</v>
      </c>
      <c r="K396" t="s">
        <v>10</v>
      </c>
    </row>
    <row r="397" spans="2:11" x14ac:dyDescent="0.25">
      <c r="J397" t="s">
        <v>237</v>
      </c>
      <c r="K397" t="s">
        <v>10</v>
      </c>
    </row>
    <row r="398" spans="2:11" x14ac:dyDescent="0.25">
      <c r="J398" t="s">
        <v>238</v>
      </c>
      <c r="K398" t="s">
        <v>10</v>
      </c>
    </row>
    <row r="399" spans="2:11" ht="14.25" customHeight="1" x14ac:dyDescent="0.25">
      <c r="C399" t="s">
        <v>116</v>
      </c>
    </row>
    <row r="400" spans="2:11" x14ac:dyDescent="0.25">
      <c r="D400" t="s">
        <v>117</v>
      </c>
      <c r="E400" t="s">
        <v>510</v>
      </c>
      <c r="F400" t="s">
        <v>14</v>
      </c>
      <c r="G400" t="s">
        <v>521</v>
      </c>
    </row>
    <row r="401" spans="4:11" x14ac:dyDescent="0.25">
      <c r="J401" t="s">
        <v>239</v>
      </c>
      <c r="K401" t="s">
        <v>10</v>
      </c>
    </row>
    <row r="402" spans="4:11" x14ac:dyDescent="0.25">
      <c r="J402" t="s">
        <v>249</v>
      </c>
      <c r="K402" t="s">
        <v>10</v>
      </c>
    </row>
    <row r="403" spans="4:11" x14ac:dyDescent="0.25">
      <c r="J403" t="s">
        <v>240</v>
      </c>
      <c r="K403" t="s">
        <v>10</v>
      </c>
    </row>
    <row r="404" spans="4:11" x14ac:dyDescent="0.25">
      <c r="J404" t="s">
        <v>250</v>
      </c>
    </row>
    <row r="405" spans="4:11" x14ac:dyDescent="0.25">
      <c r="J405" t="s">
        <v>245</v>
      </c>
    </row>
    <row r="406" spans="4:11" x14ac:dyDescent="0.25">
      <c r="J406" t="s">
        <v>248</v>
      </c>
    </row>
    <row r="407" spans="4:11" x14ac:dyDescent="0.25">
      <c r="J407" t="s">
        <v>246</v>
      </c>
    </row>
    <row r="408" spans="4:11" x14ac:dyDescent="0.25">
      <c r="J408" t="s">
        <v>247</v>
      </c>
      <c r="K408" t="s">
        <v>14</v>
      </c>
    </row>
    <row r="409" spans="4:11" x14ac:dyDescent="0.25">
      <c r="D409" t="s">
        <v>118</v>
      </c>
      <c r="E409" t="s">
        <v>510</v>
      </c>
      <c r="F409" t="s">
        <v>14</v>
      </c>
      <c r="G409" t="s">
        <v>521</v>
      </c>
    </row>
    <row r="410" spans="4:11" x14ac:dyDescent="0.25">
      <c r="J410" t="s">
        <v>239</v>
      </c>
      <c r="K410" t="s">
        <v>10</v>
      </c>
    </row>
    <row r="411" spans="4:11" x14ac:dyDescent="0.25">
      <c r="J411" t="s">
        <v>249</v>
      </c>
      <c r="K411" t="s">
        <v>10</v>
      </c>
    </row>
    <row r="412" spans="4:11" x14ac:dyDescent="0.25">
      <c r="J412" t="s">
        <v>240</v>
      </c>
      <c r="K412" t="s">
        <v>10</v>
      </c>
    </row>
    <row r="413" spans="4:11" x14ac:dyDescent="0.25">
      <c r="J413" t="s">
        <v>250</v>
      </c>
    </row>
    <row r="414" spans="4:11" x14ac:dyDescent="0.25">
      <c r="J414" t="s">
        <v>245</v>
      </c>
    </row>
    <row r="415" spans="4:11" x14ac:dyDescent="0.25">
      <c r="J415" t="s">
        <v>248</v>
      </c>
    </row>
    <row r="416" spans="4:11" x14ac:dyDescent="0.25">
      <c r="J416" t="s">
        <v>246</v>
      </c>
    </row>
    <row r="417" spans="3:11" x14ac:dyDescent="0.25">
      <c r="J417" t="s">
        <v>247</v>
      </c>
      <c r="K417" t="s">
        <v>14</v>
      </c>
    </row>
    <row r="418" spans="3:11" x14ac:dyDescent="0.25">
      <c r="C418" t="s">
        <v>119</v>
      </c>
    </row>
    <row r="419" spans="3:11" x14ac:dyDescent="0.25">
      <c r="D419" t="s">
        <v>120</v>
      </c>
      <c r="E419" t="s">
        <v>510</v>
      </c>
      <c r="F419" t="s">
        <v>10</v>
      </c>
      <c r="G419" t="s">
        <v>521</v>
      </c>
    </row>
    <row r="420" spans="3:11" x14ac:dyDescent="0.25">
      <c r="J420" t="s">
        <v>243</v>
      </c>
      <c r="K420" t="s">
        <v>10</v>
      </c>
    </row>
    <row r="421" spans="3:11" x14ac:dyDescent="0.25">
      <c r="J421" t="s">
        <v>235</v>
      </c>
      <c r="K421" t="s">
        <v>10</v>
      </c>
    </row>
    <row r="422" spans="3:11" x14ac:dyDescent="0.25">
      <c r="D422" t="s">
        <v>121</v>
      </c>
      <c r="E422" t="s">
        <v>510</v>
      </c>
      <c r="F422" t="s">
        <v>10</v>
      </c>
      <c r="G422" t="s">
        <v>521</v>
      </c>
    </row>
    <row r="423" spans="3:11" x14ac:dyDescent="0.25">
      <c r="J423" t="s">
        <v>243</v>
      </c>
      <c r="K423" t="s">
        <v>10</v>
      </c>
    </row>
    <row r="424" spans="3:11" x14ac:dyDescent="0.25">
      <c r="J424" t="s">
        <v>235</v>
      </c>
      <c r="K424" t="s">
        <v>10</v>
      </c>
    </row>
    <row r="425" spans="3:11" x14ac:dyDescent="0.25">
      <c r="D425" t="s">
        <v>122</v>
      </c>
      <c r="E425" t="s">
        <v>510</v>
      </c>
      <c r="F425" t="s">
        <v>10</v>
      </c>
      <c r="G425" t="s">
        <v>521</v>
      </c>
    </row>
    <row r="426" spans="3:11" x14ac:dyDescent="0.25">
      <c r="J426" t="s">
        <v>243</v>
      </c>
      <c r="K426" t="s">
        <v>10</v>
      </c>
    </row>
    <row r="427" spans="3:11" x14ac:dyDescent="0.25">
      <c r="C427" t="s">
        <v>123</v>
      </c>
    </row>
    <row r="428" spans="3:11" x14ac:dyDescent="0.25">
      <c r="D428" t="s">
        <v>124</v>
      </c>
      <c r="E428" t="s">
        <v>510</v>
      </c>
      <c r="F428" t="s">
        <v>14</v>
      </c>
      <c r="G428" t="s">
        <v>521</v>
      </c>
    </row>
    <row r="429" spans="3:11" x14ac:dyDescent="0.25">
      <c r="J429" t="s">
        <v>239</v>
      </c>
      <c r="K429" t="s">
        <v>10</v>
      </c>
    </row>
    <row r="430" spans="3:11" x14ac:dyDescent="0.25">
      <c r="J430" t="s">
        <v>249</v>
      </c>
      <c r="K430" t="s">
        <v>10</v>
      </c>
    </row>
    <row r="431" spans="3:11" x14ac:dyDescent="0.25">
      <c r="J431" t="s">
        <v>240</v>
      </c>
      <c r="K431" t="s">
        <v>10</v>
      </c>
    </row>
    <row r="432" spans="3:11" x14ac:dyDescent="0.25">
      <c r="J432" t="s">
        <v>250</v>
      </c>
    </row>
    <row r="433" spans="2:11" x14ac:dyDescent="0.25">
      <c r="J433" t="s">
        <v>245</v>
      </c>
    </row>
    <row r="434" spans="2:11" x14ac:dyDescent="0.25">
      <c r="J434" t="s">
        <v>248</v>
      </c>
    </row>
    <row r="435" spans="2:11" x14ac:dyDescent="0.25">
      <c r="J435" t="s">
        <v>246</v>
      </c>
    </row>
    <row r="436" spans="2:11" x14ac:dyDescent="0.25">
      <c r="J436" t="s">
        <v>247</v>
      </c>
      <c r="K436" t="s">
        <v>14</v>
      </c>
    </row>
    <row r="437" spans="2:11" x14ac:dyDescent="0.25">
      <c r="D437" t="s">
        <v>125</v>
      </c>
      <c r="E437" t="s">
        <v>510</v>
      </c>
      <c r="F437" t="s">
        <v>14</v>
      </c>
      <c r="G437" t="s">
        <v>521</v>
      </c>
    </row>
    <row r="438" spans="2:11" x14ac:dyDescent="0.25">
      <c r="J438" t="s">
        <v>239</v>
      </c>
      <c r="K438" t="s">
        <v>10</v>
      </c>
    </row>
    <row r="439" spans="2:11" x14ac:dyDescent="0.25">
      <c r="J439" t="s">
        <v>249</v>
      </c>
      <c r="K439" t="s">
        <v>10</v>
      </c>
    </row>
    <row r="440" spans="2:11" x14ac:dyDescent="0.25">
      <c r="J440" t="s">
        <v>240</v>
      </c>
      <c r="K440" t="s">
        <v>10</v>
      </c>
    </row>
    <row r="441" spans="2:11" x14ac:dyDescent="0.25">
      <c r="J441" t="s">
        <v>250</v>
      </c>
    </row>
    <row r="442" spans="2:11" x14ac:dyDescent="0.25">
      <c r="J442" t="s">
        <v>245</v>
      </c>
    </row>
    <row r="443" spans="2:11" x14ac:dyDescent="0.25">
      <c r="J443" t="s">
        <v>248</v>
      </c>
    </row>
    <row r="444" spans="2:11" x14ac:dyDescent="0.25">
      <c r="J444" t="s">
        <v>246</v>
      </c>
    </row>
    <row r="445" spans="2:11" x14ac:dyDescent="0.25">
      <c r="J445" t="s">
        <v>247</v>
      </c>
      <c r="K445" t="s">
        <v>14</v>
      </c>
    </row>
    <row r="446" spans="2:11" x14ac:dyDescent="0.25">
      <c r="B446" t="s">
        <v>126</v>
      </c>
    </row>
    <row r="447" spans="2:11" x14ac:dyDescent="0.25">
      <c r="C447" t="s">
        <v>127</v>
      </c>
    </row>
    <row r="448" spans="2:11" x14ac:dyDescent="0.25">
      <c r="D448" t="s">
        <v>128</v>
      </c>
      <c r="E448" t="s">
        <v>510</v>
      </c>
      <c r="F448" t="s">
        <v>9</v>
      </c>
      <c r="G448" t="s">
        <v>521</v>
      </c>
    </row>
    <row r="449" spans="3:11" x14ac:dyDescent="0.25">
      <c r="J449" t="s">
        <v>236</v>
      </c>
      <c r="K449" t="s">
        <v>10</v>
      </c>
    </row>
    <row r="450" spans="3:11" x14ac:dyDescent="0.25">
      <c r="J450" t="s">
        <v>234</v>
      </c>
      <c r="K450" t="s">
        <v>9</v>
      </c>
    </row>
    <row r="451" spans="3:11" x14ac:dyDescent="0.25">
      <c r="J451" t="s">
        <v>235</v>
      </c>
      <c r="K451" t="s">
        <v>10</v>
      </c>
    </row>
    <row r="452" spans="3:11" x14ac:dyDescent="0.25">
      <c r="D452" t="s">
        <v>129</v>
      </c>
      <c r="E452" t="s">
        <v>510</v>
      </c>
      <c r="F452" t="s">
        <v>9</v>
      </c>
      <c r="G452" t="s">
        <v>521</v>
      </c>
    </row>
    <row r="453" spans="3:11" x14ac:dyDescent="0.25">
      <c r="J453" t="s">
        <v>236</v>
      </c>
      <c r="K453" t="s">
        <v>10</v>
      </c>
    </row>
    <row r="454" spans="3:11" x14ac:dyDescent="0.25">
      <c r="J454" t="s">
        <v>237</v>
      </c>
      <c r="K454" t="s">
        <v>10</v>
      </c>
    </row>
    <row r="455" spans="3:11" x14ac:dyDescent="0.25">
      <c r="J455" t="s">
        <v>238</v>
      </c>
      <c r="K455" t="s">
        <v>10</v>
      </c>
    </row>
    <row r="456" spans="3:11" x14ac:dyDescent="0.25">
      <c r="C456" t="s">
        <v>130</v>
      </c>
    </row>
    <row r="457" spans="3:11" x14ac:dyDescent="0.25">
      <c r="D457" t="s">
        <v>131</v>
      </c>
      <c r="E457" t="s">
        <v>510</v>
      </c>
      <c r="F457" t="s">
        <v>14</v>
      </c>
      <c r="G457" t="s">
        <v>521</v>
      </c>
    </row>
    <row r="458" spans="3:11" x14ac:dyDescent="0.25">
      <c r="J458" t="s">
        <v>239</v>
      </c>
      <c r="K458" t="s">
        <v>10</v>
      </c>
    </row>
    <row r="459" spans="3:11" x14ac:dyDescent="0.25">
      <c r="J459" t="s">
        <v>249</v>
      </c>
      <c r="K459" t="s">
        <v>10</v>
      </c>
    </row>
    <row r="460" spans="3:11" x14ac:dyDescent="0.25">
      <c r="J460" t="s">
        <v>240</v>
      </c>
      <c r="K460" t="s">
        <v>10</v>
      </c>
    </row>
    <row r="461" spans="3:11" x14ac:dyDescent="0.25">
      <c r="J461" t="s">
        <v>250</v>
      </c>
    </row>
    <row r="462" spans="3:11" x14ac:dyDescent="0.25">
      <c r="J462" t="s">
        <v>245</v>
      </c>
    </row>
    <row r="463" spans="3:11" x14ac:dyDescent="0.25">
      <c r="J463" t="s">
        <v>248</v>
      </c>
    </row>
    <row r="464" spans="3:11" x14ac:dyDescent="0.25">
      <c r="J464" t="s">
        <v>246</v>
      </c>
    </row>
    <row r="465" spans="4:11" x14ac:dyDescent="0.25">
      <c r="D465" t="s">
        <v>132</v>
      </c>
      <c r="E465" t="s">
        <v>510</v>
      </c>
      <c r="F465" t="s">
        <v>14</v>
      </c>
      <c r="G465" t="s">
        <v>521</v>
      </c>
    </row>
    <row r="466" spans="4:11" x14ac:dyDescent="0.25">
      <c r="J466" t="s">
        <v>239</v>
      </c>
      <c r="K466" t="s">
        <v>10</v>
      </c>
    </row>
    <row r="467" spans="4:11" x14ac:dyDescent="0.25">
      <c r="J467" t="s">
        <v>249</v>
      </c>
      <c r="K467" t="s">
        <v>10</v>
      </c>
    </row>
    <row r="468" spans="4:11" x14ac:dyDescent="0.25">
      <c r="J468" t="s">
        <v>240</v>
      </c>
      <c r="K468" t="s">
        <v>10</v>
      </c>
    </row>
    <row r="469" spans="4:11" x14ac:dyDescent="0.25">
      <c r="J469" t="s">
        <v>250</v>
      </c>
    </row>
    <row r="470" spans="4:11" x14ac:dyDescent="0.25">
      <c r="J470" t="s">
        <v>245</v>
      </c>
    </row>
    <row r="471" spans="4:11" x14ac:dyDescent="0.25">
      <c r="J471" t="s">
        <v>248</v>
      </c>
    </row>
    <row r="472" spans="4:11" x14ac:dyDescent="0.25">
      <c r="J472" t="s">
        <v>246</v>
      </c>
    </row>
    <row r="473" spans="4:11" x14ac:dyDescent="0.25">
      <c r="D473" t="s">
        <v>133</v>
      </c>
      <c r="E473" t="s">
        <v>510</v>
      </c>
      <c r="F473" t="s">
        <v>14</v>
      </c>
      <c r="G473" t="s">
        <v>521</v>
      </c>
    </row>
    <row r="474" spans="4:11" x14ac:dyDescent="0.25">
      <c r="J474" t="s">
        <v>239</v>
      </c>
      <c r="K474" t="s">
        <v>10</v>
      </c>
    </row>
    <row r="475" spans="4:11" x14ac:dyDescent="0.25">
      <c r="J475" t="s">
        <v>249</v>
      </c>
      <c r="K475" t="s">
        <v>10</v>
      </c>
    </row>
    <row r="476" spans="4:11" x14ac:dyDescent="0.25">
      <c r="J476" t="s">
        <v>240</v>
      </c>
      <c r="K476" t="s">
        <v>10</v>
      </c>
    </row>
    <row r="477" spans="4:11" x14ac:dyDescent="0.25">
      <c r="J477" t="s">
        <v>250</v>
      </c>
    </row>
    <row r="478" spans="4:11" x14ac:dyDescent="0.25">
      <c r="J478" t="s">
        <v>245</v>
      </c>
    </row>
    <row r="479" spans="4:11" x14ac:dyDescent="0.25">
      <c r="J479" t="s">
        <v>248</v>
      </c>
    </row>
    <row r="480" spans="4:11" x14ac:dyDescent="0.25">
      <c r="J480" t="s">
        <v>246</v>
      </c>
    </row>
    <row r="481" spans="3:11" x14ac:dyDescent="0.25">
      <c r="D481" t="s">
        <v>134</v>
      </c>
      <c r="E481" t="s">
        <v>510</v>
      </c>
      <c r="F481" t="s">
        <v>14</v>
      </c>
      <c r="G481" t="s">
        <v>521</v>
      </c>
    </row>
    <row r="482" spans="3:11" x14ac:dyDescent="0.25">
      <c r="J482" t="s">
        <v>239</v>
      </c>
      <c r="K482" t="s">
        <v>10</v>
      </c>
    </row>
    <row r="483" spans="3:11" x14ac:dyDescent="0.25">
      <c r="J483" t="s">
        <v>249</v>
      </c>
      <c r="K483" t="s">
        <v>10</v>
      </c>
    </row>
    <row r="484" spans="3:11" x14ac:dyDescent="0.25">
      <c r="J484" t="s">
        <v>240</v>
      </c>
      <c r="K484" t="s">
        <v>10</v>
      </c>
    </row>
    <row r="485" spans="3:11" x14ac:dyDescent="0.25">
      <c r="J485" t="s">
        <v>250</v>
      </c>
    </row>
    <row r="486" spans="3:11" x14ac:dyDescent="0.25">
      <c r="J486" t="s">
        <v>245</v>
      </c>
    </row>
    <row r="487" spans="3:11" x14ac:dyDescent="0.25">
      <c r="J487" t="s">
        <v>248</v>
      </c>
    </row>
    <row r="488" spans="3:11" x14ac:dyDescent="0.25">
      <c r="J488" t="s">
        <v>246</v>
      </c>
    </row>
    <row r="489" spans="3:11" x14ac:dyDescent="0.25">
      <c r="C489" t="s">
        <v>135</v>
      </c>
    </row>
    <row r="490" spans="3:11" x14ac:dyDescent="0.25">
      <c r="D490" t="s">
        <v>136</v>
      </c>
      <c r="E490" t="s">
        <v>510</v>
      </c>
      <c r="F490" t="s">
        <v>10</v>
      </c>
      <c r="G490" t="s">
        <v>521</v>
      </c>
    </row>
    <row r="491" spans="3:11" x14ac:dyDescent="0.25">
      <c r="J491" t="s">
        <v>243</v>
      </c>
      <c r="K491" t="s">
        <v>10</v>
      </c>
    </row>
    <row r="492" spans="3:11" x14ac:dyDescent="0.25">
      <c r="J492" t="s">
        <v>235</v>
      </c>
      <c r="K492" t="s">
        <v>10</v>
      </c>
    </row>
    <row r="493" spans="3:11" x14ac:dyDescent="0.25">
      <c r="D493" t="s">
        <v>137</v>
      </c>
      <c r="E493" t="s">
        <v>510</v>
      </c>
      <c r="F493" t="s">
        <v>10</v>
      </c>
      <c r="G493" t="s">
        <v>521</v>
      </c>
    </row>
    <row r="494" spans="3:11" x14ac:dyDescent="0.25">
      <c r="J494" t="s">
        <v>243</v>
      </c>
      <c r="K494" t="s">
        <v>10</v>
      </c>
    </row>
    <row r="495" spans="3:11" x14ac:dyDescent="0.25">
      <c r="J495" t="s">
        <v>235</v>
      </c>
      <c r="K495" t="s">
        <v>10</v>
      </c>
    </row>
    <row r="496" spans="3:11" x14ac:dyDescent="0.25">
      <c r="D496" t="s">
        <v>138</v>
      </c>
      <c r="E496" t="s">
        <v>510</v>
      </c>
      <c r="F496" t="s">
        <v>10</v>
      </c>
      <c r="G496" t="s">
        <v>521</v>
      </c>
    </row>
    <row r="497" spans="3:11" x14ac:dyDescent="0.25">
      <c r="J497" t="s">
        <v>243</v>
      </c>
      <c r="K497" t="s">
        <v>10</v>
      </c>
    </row>
    <row r="498" spans="3:11" x14ac:dyDescent="0.25">
      <c r="C498" t="s">
        <v>139</v>
      </c>
    </row>
    <row r="499" spans="3:11" x14ac:dyDescent="0.25">
      <c r="D499" t="s">
        <v>140</v>
      </c>
      <c r="E499" t="s">
        <v>510</v>
      </c>
      <c r="F499" t="s">
        <v>19</v>
      </c>
      <c r="G499" t="s">
        <v>521</v>
      </c>
    </row>
    <row r="500" spans="3:11" x14ac:dyDescent="0.25">
      <c r="J500" t="s">
        <v>239</v>
      </c>
      <c r="K500" t="s">
        <v>10</v>
      </c>
    </row>
    <row r="501" spans="3:11" x14ac:dyDescent="0.25">
      <c r="J501" t="s">
        <v>249</v>
      </c>
      <c r="K501" t="s">
        <v>10</v>
      </c>
    </row>
    <row r="502" spans="3:11" x14ac:dyDescent="0.25">
      <c r="J502" t="s">
        <v>240</v>
      </c>
      <c r="K502" t="s">
        <v>10</v>
      </c>
    </row>
    <row r="503" spans="3:11" x14ac:dyDescent="0.25">
      <c r="J503" t="s">
        <v>250</v>
      </c>
    </row>
    <row r="504" spans="3:11" x14ac:dyDescent="0.25">
      <c r="J504" t="s">
        <v>245</v>
      </c>
    </row>
    <row r="505" spans="3:11" x14ac:dyDescent="0.25">
      <c r="J505" t="s">
        <v>248</v>
      </c>
    </row>
    <row r="506" spans="3:11" x14ac:dyDescent="0.25">
      <c r="J506" t="s">
        <v>246</v>
      </c>
    </row>
    <row r="507" spans="3:11" x14ac:dyDescent="0.25">
      <c r="D507" t="s">
        <v>141</v>
      </c>
      <c r="E507" t="s">
        <v>510</v>
      </c>
      <c r="F507" t="s">
        <v>19</v>
      </c>
      <c r="G507" t="s">
        <v>521</v>
      </c>
    </row>
    <row r="508" spans="3:11" x14ac:dyDescent="0.25">
      <c r="J508" t="s">
        <v>239</v>
      </c>
      <c r="K508" t="s">
        <v>10</v>
      </c>
    </row>
    <row r="509" spans="3:11" x14ac:dyDescent="0.25">
      <c r="J509" t="s">
        <v>249</v>
      </c>
      <c r="K509" t="s">
        <v>10</v>
      </c>
    </row>
    <row r="510" spans="3:11" x14ac:dyDescent="0.25">
      <c r="J510" t="s">
        <v>240</v>
      </c>
      <c r="K510" t="s">
        <v>10</v>
      </c>
    </row>
    <row r="511" spans="3:11" x14ac:dyDescent="0.25">
      <c r="J511" t="s">
        <v>250</v>
      </c>
    </row>
    <row r="512" spans="3:11" x14ac:dyDescent="0.25">
      <c r="J512" t="s">
        <v>245</v>
      </c>
    </row>
    <row r="513" spans="4:11" x14ac:dyDescent="0.25">
      <c r="J513" t="s">
        <v>248</v>
      </c>
    </row>
    <row r="514" spans="4:11" x14ac:dyDescent="0.25">
      <c r="J514" t="s">
        <v>246</v>
      </c>
    </row>
    <row r="515" spans="4:11" x14ac:dyDescent="0.25">
      <c r="D515" t="s">
        <v>142</v>
      </c>
      <c r="E515" t="s">
        <v>510</v>
      </c>
      <c r="F515" t="s">
        <v>19</v>
      </c>
      <c r="G515" t="s">
        <v>521</v>
      </c>
    </row>
    <row r="516" spans="4:11" x14ac:dyDescent="0.25">
      <c r="J516" t="s">
        <v>239</v>
      </c>
      <c r="K516" t="s">
        <v>10</v>
      </c>
    </row>
    <row r="517" spans="4:11" x14ac:dyDescent="0.25">
      <c r="J517" t="s">
        <v>249</v>
      </c>
      <c r="K517" t="s">
        <v>10</v>
      </c>
    </row>
    <row r="518" spans="4:11" x14ac:dyDescent="0.25">
      <c r="J518" t="s">
        <v>240</v>
      </c>
      <c r="K518" t="s">
        <v>10</v>
      </c>
    </row>
    <row r="519" spans="4:11" x14ac:dyDescent="0.25">
      <c r="J519" t="s">
        <v>250</v>
      </c>
    </row>
    <row r="520" spans="4:11" x14ac:dyDescent="0.25">
      <c r="J520" t="s">
        <v>245</v>
      </c>
    </row>
    <row r="521" spans="4:11" x14ac:dyDescent="0.25">
      <c r="J521" t="s">
        <v>248</v>
      </c>
    </row>
    <row r="522" spans="4:11" x14ac:dyDescent="0.25">
      <c r="J522" t="s">
        <v>246</v>
      </c>
    </row>
    <row r="523" spans="4:11" x14ac:dyDescent="0.25">
      <c r="D523" t="s">
        <v>143</v>
      </c>
      <c r="E523" t="s">
        <v>510</v>
      </c>
      <c r="F523" t="s">
        <v>19</v>
      </c>
      <c r="G523" t="s">
        <v>521</v>
      </c>
    </row>
    <row r="524" spans="4:11" x14ac:dyDescent="0.25">
      <c r="J524" t="s">
        <v>239</v>
      </c>
      <c r="K524" t="s">
        <v>10</v>
      </c>
    </row>
    <row r="525" spans="4:11" x14ac:dyDescent="0.25">
      <c r="J525" t="s">
        <v>249</v>
      </c>
      <c r="K525" t="s">
        <v>10</v>
      </c>
    </row>
    <row r="526" spans="4:11" x14ac:dyDescent="0.25">
      <c r="J526" t="s">
        <v>240</v>
      </c>
      <c r="K526" t="s">
        <v>10</v>
      </c>
    </row>
    <row r="527" spans="4:11" x14ac:dyDescent="0.25">
      <c r="J527" t="s">
        <v>250</v>
      </c>
    </row>
    <row r="528" spans="4:11" x14ac:dyDescent="0.25">
      <c r="J528" t="s">
        <v>245</v>
      </c>
    </row>
    <row r="529" spans="3:11" x14ac:dyDescent="0.25">
      <c r="J529" t="s">
        <v>248</v>
      </c>
    </row>
    <row r="530" spans="3:11" x14ac:dyDescent="0.25">
      <c r="J530" t="s">
        <v>246</v>
      </c>
    </row>
    <row r="531" spans="3:11" x14ac:dyDescent="0.25">
      <c r="C531" t="s">
        <v>144</v>
      </c>
    </row>
    <row r="532" spans="3:11" x14ac:dyDescent="0.25">
      <c r="D532" t="s">
        <v>145</v>
      </c>
      <c r="E532" t="s">
        <v>510</v>
      </c>
      <c r="F532" t="s">
        <v>14</v>
      </c>
      <c r="G532" t="s">
        <v>521</v>
      </c>
    </row>
    <row r="533" spans="3:11" x14ac:dyDescent="0.25">
      <c r="J533" t="s">
        <v>239</v>
      </c>
      <c r="K533" t="s">
        <v>10</v>
      </c>
    </row>
    <row r="534" spans="3:11" x14ac:dyDescent="0.25">
      <c r="J534" t="s">
        <v>249</v>
      </c>
      <c r="K534" t="s">
        <v>10</v>
      </c>
    </row>
    <row r="535" spans="3:11" x14ac:dyDescent="0.25">
      <c r="J535" t="s">
        <v>240</v>
      </c>
      <c r="K535" t="s">
        <v>10</v>
      </c>
    </row>
    <row r="536" spans="3:11" x14ac:dyDescent="0.25">
      <c r="J536" t="s">
        <v>250</v>
      </c>
    </row>
    <row r="537" spans="3:11" x14ac:dyDescent="0.25">
      <c r="J537" t="s">
        <v>245</v>
      </c>
    </row>
    <row r="538" spans="3:11" x14ac:dyDescent="0.25">
      <c r="J538" t="s">
        <v>248</v>
      </c>
    </row>
    <row r="539" spans="3:11" x14ac:dyDescent="0.25">
      <c r="J539" t="s">
        <v>246</v>
      </c>
    </row>
    <row r="540" spans="3:11" x14ac:dyDescent="0.25">
      <c r="D540" t="s">
        <v>146</v>
      </c>
      <c r="E540" t="s">
        <v>510</v>
      </c>
      <c r="F540" t="s">
        <v>14</v>
      </c>
      <c r="G540" t="s">
        <v>521</v>
      </c>
    </row>
    <row r="541" spans="3:11" x14ac:dyDescent="0.25">
      <c r="J541" t="s">
        <v>239</v>
      </c>
      <c r="K541" t="s">
        <v>10</v>
      </c>
    </row>
    <row r="542" spans="3:11" x14ac:dyDescent="0.25">
      <c r="J542" t="s">
        <v>249</v>
      </c>
      <c r="K542" t="s">
        <v>10</v>
      </c>
    </row>
    <row r="543" spans="3:11" x14ac:dyDescent="0.25">
      <c r="J543" t="s">
        <v>240</v>
      </c>
      <c r="K543" t="s">
        <v>10</v>
      </c>
    </row>
    <row r="544" spans="3:11" x14ac:dyDescent="0.25">
      <c r="J544" t="s">
        <v>250</v>
      </c>
    </row>
    <row r="545" spans="3:11" x14ac:dyDescent="0.25">
      <c r="J545" t="s">
        <v>245</v>
      </c>
    </row>
    <row r="546" spans="3:11" x14ac:dyDescent="0.25">
      <c r="J546" t="s">
        <v>248</v>
      </c>
    </row>
    <row r="547" spans="3:11" x14ac:dyDescent="0.25">
      <c r="J547" t="s">
        <v>246</v>
      </c>
    </row>
    <row r="548" spans="3:11" x14ac:dyDescent="0.25">
      <c r="D548" t="s">
        <v>147</v>
      </c>
      <c r="E548" t="s">
        <v>510</v>
      </c>
      <c r="F548" t="s">
        <v>14</v>
      </c>
      <c r="G548" t="s">
        <v>521</v>
      </c>
    </row>
    <row r="549" spans="3:11" x14ac:dyDescent="0.25">
      <c r="J549" t="s">
        <v>239</v>
      </c>
      <c r="K549" t="s">
        <v>10</v>
      </c>
    </row>
    <row r="550" spans="3:11" x14ac:dyDescent="0.25">
      <c r="J550" t="s">
        <v>249</v>
      </c>
      <c r="K550" t="s">
        <v>10</v>
      </c>
    </row>
    <row r="551" spans="3:11" x14ac:dyDescent="0.25">
      <c r="J551" t="s">
        <v>240</v>
      </c>
      <c r="K551" t="s">
        <v>10</v>
      </c>
    </row>
    <row r="552" spans="3:11" x14ac:dyDescent="0.25">
      <c r="J552" t="s">
        <v>250</v>
      </c>
    </row>
    <row r="553" spans="3:11" x14ac:dyDescent="0.25">
      <c r="J553" t="s">
        <v>245</v>
      </c>
    </row>
    <row r="554" spans="3:11" x14ac:dyDescent="0.25">
      <c r="J554" t="s">
        <v>248</v>
      </c>
    </row>
    <row r="555" spans="3:11" x14ac:dyDescent="0.25">
      <c r="J555" t="s">
        <v>246</v>
      </c>
    </row>
    <row r="556" spans="3:11" x14ac:dyDescent="0.25">
      <c r="C556" t="s">
        <v>148</v>
      </c>
    </row>
    <row r="557" spans="3:11" x14ac:dyDescent="0.25">
      <c r="D557" t="s">
        <v>149</v>
      </c>
      <c r="E557" t="s">
        <v>510</v>
      </c>
      <c r="F557" t="s">
        <v>19</v>
      </c>
      <c r="G557" t="s">
        <v>521</v>
      </c>
    </row>
    <row r="558" spans="3:11" x14ac:dyDescent="0.25">
      <c r="J558" t="s">
        <v>239</v>
      </c>
      <c r="K558" t="s">
        <v>10</v>
      </c>
    </row>
    <row r="559" spans="3:11" x14ac:dyDescent="0.25">
      <c r="J559" t="s">
        <v>249</v>
      </c>
      <c r="K559" t="s">
        <v>10</v>
      </c>
    </row>
    <row r="560" spans="3:11" x14ac:dyDescent="0.25">
      <c r="J560" t="s">
        <v>240</v>
      </c>
      <c r="K560" t="s">
        <v>10</v>
      </c>
    </row>
    <row r="561" spans="4:11" x14ac:dyDescent="0.25">
      <c r="J561" t="s">
        <v>250</v>
      </c>
    </row>
    <row r="562" spans="4:11" x14ac:dyDescent="0.25">
      <c r="J562" t="s">
        <v>245</v>
      </c>
    </row>
    <row r="563" spans="4:11" x14ac:dyDescent="0.25">
      <c r="J563" t="s">
        <v>248</v>
      </c>
    </row>
    <row r="564" spans="4:11" x14ac:dyDescent="0.25">
      <c r="J564" t="s">
        <v>246</v>
      </c>
    </row>
    <row r="565" spans="4:11" x14ac:dyDescent="0.25">
      <c r="D565" t="s">
        <v>150</v>
      </c>
      <c r="E565" t="s">
        <v>510</v>
      </c>
      <c r="F565" t="s">
        <v>19</v>
      </c>
      <c r="G565" t="s">
        <v>521</v>
      </c>
    </row>
    <row r="566" spans="4:11" x14ac:dyDescent="0.25">
      <c r="J566" t="s">
        <v>239</v>
      </c>
      <c r="K566" t="s">
        <v>10</v>
      </c>
    </row>
    <row r="567" spans="4:11" x14ac:dyDescent="0.25">
      <c r="J567" t="s">
        <v>249</v>
      </c>
      <c r="K567" t="s">
        <v>10</v>
      </c>
    </row>
    <row r="568" spans="4:11" x14ac:dyDescent="0.25">
      <c r="J568" t="s">
        <v>240</v>
      </c>
      <c r="K568" t="s">
        <v>10</v>
      </c>
    </row>
    <row r="569" spans="4:11" x14ac:dyDescent="0.25">
      <c r="J569" t="s">
        <v>250</v>
      </c>
    </row>
    <row r="570" spans="4:11" x14ac:dyDescent="0.25">
      <c r="J570" t="s">
        <v>245</v>
      </c>
    </row>
    <row r="571" spans="4:11" x14ac:dyDescent="0.25">
      <c r="J571" t="s">
        <v>248</v>
      </c>
    </row>
    <row r="572" spans="4:11" x14ac:dyDescent="0.25">
      <c r="J572" t="s">
        <v>246</v>
      </c>
    </row>
    <row r="573" spans="4:11" x14ac:dyDescent="0.25">
      <c r="D573" t="s">
        <v>151</v>
      </c>
      <c r="E573" t="s">
        <v>510</v>
      </c>
      <c r="F573" t="s">
        <v>19</v>
      </c>
      <c r="G573" t="s">
        <v>521</v>
      </c>
    </row>
    <row r="574" spans="4:11" x14ac:dyDescent="0.25">
      <c r="J574" t="s">
        <v>239</v>
      </c>
      <c r="K574" t="s">
        <v>10</v>
      </c>
    </row>
    <row r="575" spans="4:11" x14ac:dyDescent="0.25">
      <c r="J575" t="s">
        <v>249</v>
      </c>
      <c r="K575" t="s">
        <v>10</v>
      </c>
    </row>
    <row r="576" spans="4:11" x14ac:dyDescent="0.25">
      <c r="J576" t="s">
        <v>240</v>
      </c>
      <c r="K576" t="s">
        <v>10</v>
      </c>
    </row>
    <row r="577" spans="4:11" x14ac:dyDescent="0.25">
      <c r="J577" t="s">
        <v>250</v>
      </c>
    </row>
    <row r="578" spans="4:11" x14ac:dyDescent="0.25">
      <c r="J578" t="s">
        <v>245</v>
      </c>
    </row>
    <row r="579" spans="4:11" x14ac:dyDescent="0.25">
      <c r="J579" t="s">
        <v>248</v>
      </c>
    </row>
    <row r="580" spans="4:11" x14ac:dyDescent="0.25">
      <c r="J580" t="s">
        <v>246</v>
      </c>
    </row>
    <row r="581" spans="4:11" x14ac:dyDescent="0.25">
      <c r="D581" t="s">
        <v>152</v>
      </c>
      <c r="E581" t="s">
        <v>510</v>
      </c>
      <c r="F581" t="s">
        <v>19</v>
      </c>
      <c r="G581" t="s">
        <v>521</v>
      </c>
    </row>
    <row r="582" spans="4:11" x14ac:dyDescent="0.25">
      <c r="J582" t="s">
        <v>239</v>
      </c>
      <c r="K582" t="s">
        <v>10</v>
      </c>
    </row>
    <row r="583" spans="4:11" x14ac:dyDescent="0.25">
      <c r="J583" t="s">
        <v>249</v>
      </c>
      <c r="K583" t="s">
        <v>10</v>
      </c>
    </row>
    <row r="584" spans="4:11" x14ac:dyDescent="0.25">
      <c r="J584" t="s">
        <v>240</v>
      </c>
      <c r="K584" t="s">
        <v>10</v>
      </c>
    </row>
    <row r="585" spans="4:11" x14ac:dyDescent="0.25">
      <c r="J585" t="s">
        <v>250</v>
      </c>
    </row>
    <row r="586" spans="4:11" x14ac:dyDescent="0.25">
      <c r="J586" t="s">
        <v>245</v>
      </c>
    </row>
    <row r="587" spans="4:11" x14ac:dyDescent="0.25">
      <c r="J587" t="s">
        <v>248</v>
      </c>
    </row>
    <row r="588" spans="4:11" x14ac:dyDescent="0.25">
      <c r="J588" t="s">
        <v>246</v>
      </c>
    </row>
    <row r="589" spans="4:11" x14ac:dyDescent="0.25">
      <c r="D589" t="s">
        <v>153</v>
      </c>
      <c r="E589" t="s">
        <v>510</v>
      </c>
      <c r="F589" t="s">
        <v>19</v>
      </c>
      <c r="G589" t="s">
        <v>521</v>
      </c>
    </row>
    <row r="590" spans="4:11" x14ac:dyDescent="0.25">
      <c r="J590" t="s">
        <v>239</v>
      </c>
      <c r="K590" t="s">
        <v>10</v>
      </c>
    </row>
    <row r="591" spans="4:11" x14ac:dyDescent="0.25">
      <c r="J591" t="s">
        <v>249</v>
      </c>
      <c r="K591" t="s">
        <v>10</v>
      </c>
    </row>
    <row r="592" spans="4:11" x14ac:dyDescent="0.25">
      <c r="J592" t="s">
        <v>240</v>
      </c>
      <c r="K592" t="s">
        <v>10</v>
      </c>
    </row>
    <row r="593" spans="2:11" x14ac:dyDescent="0.25">
      <c r="J593" t="s">
        <v>250</v>
      </c>
    </row>
    <row r="594" spans="2:11" x14ac:dyDescent="0.25">
      <c r="J594" t="s">
        <v>245</v>
      </c>
    </row>
    <row r="595" spans="2:11" x14ac:dyDescent="0.25">
      <c r="J595" t="s">
        <v>248</v>
      </c>
    </row>
    <row r="596" spans="2:11" x14ac:dyDescent="0.25">
      <c r="J596" t="s">
        <v>246</v>
      </c>
    </row>
    <row r="597" spans="2:11" x14ac:dyDescent="0.25">
      <c r="B597" t="s">
        <v>154</v>
      </c>
    </row>
    <row r="598" spans="2:11" x14ac:dyDescent="0.25">
      <c r="C598" t="s">
        <v>155</v>
      </c>
    </row>
    <row r="599" spans="2:11" x14ac:dyDescent="0.25">
      <c r="D599" t="s">
        <v>156</v>
      </c>
      <c r="E599" t="s">
        <v>510</v>
      </c>
      <c r="F599" t="s">
        <v>1</v>
      </c>
      <c r="G599" t="s">
        <v>521</v>
      </c>
    </row>
    <row r="600" spans="2:11" x14ac:dyDescent="0.25">
      <c r="J600" t="s">
        <v>243</v>
      </c>
      <c r="K600" t="s">
        <v>10</v>
      </c>
    </row>
    <row r="601" spans="2:11" x14ac:dyDescent="0.25">
      <c r="J601" t="s">
        <v>256</v>
      </c>
      <c r="K601" t="s">
        <v>1</v>
      </c>
    </row>
    <row r="602" spans="2:11" x14ac:dyDescent="0.25">
      <c r="J602" t="s">
        <v>258</v>
      </c>
      <c r="K602" t="s">
        <v>10</v>
      </c>
    </row>
    <row r="603" spans="2:11" x14ac:dyDescent="0.25">
      <c r="J603" t="s">
        <v>235</v>
      </c>
      <c r="K603" t="s">
        <v>10</v>
      </c>
    </row>
    <row r="604" spans="2:11" x14ac:dyDescent="0.25">
      <c r="C604" t="s">
        <v>157</v>
      </c>
    </row>
    <row r="605" spans="2:11" x14ac:dyDescent="0.25">
      <c r="D605" t="s">
        <v>158</v>
      </c>
      <c r="E605" t="s">
        <v>510</v>
      </c>
      <c r="F605" t="s">
        <v>9</v>
      </c>
      <c r="G605" t="s">
        <v>521</v>
      </c>
    </row>
    <row r="606" spans="2:11" x14ac:dyDescent="0.25">
      <c r="J606" t="s">
        <v>475</v>
      </c>
      <c r="K606" t="s">
        <v>10</v>
      </c>
    </row>
    <row r="607" spans="2:11" x14ac:dyDescent="0.25">
      <c r="D607" t="s">
        <v>159</v>
      </c>
      <c r="E607" t="s">
        <v>510</v>
      </c>
      <c r="F607" t="s">
        <v>9</v>
      </c>
      <c r="G607" t="s">
        <v>521</v>
      </c>
    </row>
    <row r="608" spans="2:11" x14ac:dyDescent="0.25">
      <c r="J608" t="s">
        <v>475</v>
      </c>
      <c r="K608" t="s">
        <v>530</v>
      </c>
    </row>
    <row r="609" spans="3:11" x14ac:dyDescent="0.25">
      <c r="J609" t="s">
        <v>258</v>
      </c>
      <c r="K609" t="s">
        <v>530</v>
      </c>
    </row>
    <row r="610" spans="3:11" x14ac:dyDescent="0.25">
      <c r="D610" t="s">
        <v>160</v>
      </c>
      <c r="E610" t="s">
        <v>510</v>
      </c>
      <c r="F610" t="s">
        <v>9</v>
      </c>
      <c r="G610" t="s">
        <v>521</v>
      </c>
    </row>
    <row r="611" spans="3:11" x14ac:dyDescent="0.25">
      <c r="J611" t="s">
        <v>235</v>
      </c>
      <c r="K611" t="s">
        <v>10</v>
      </c>
    </row>
    <row r="612" spans="3:11" x14ac:dyDescent="0.25">
      <c r="D612" t="s">
        <v>161</v>
      </c>
      <c r="E612" t="s">
        <v>510</v>
      </c>
      <c r="F612" t="s">
        <v>9</v>
      </c>
      <c r="G612" t="s">
        <v>521</v>
      </c>
    </row>
    <row r="613" spans="3:11" x14ac:dyDescent="0.25">
      <c r="J613" t="s">
        <v>236</v>
      </c>
      <c r="K613" t="s">
        <v>10</v>
      </c>
    </row>
    <row r="614" spans="3:11" x14ac:dyDescent="0.25">
      <c r="J614" t="s">
        <v>234</v>
      </c>
      <c r="K614" t="s">
        <v>9</v>
      </c>
    </row>
    <row r="615" spans="3:11" x14ac:dyDescent="0.25">
      <c r="J615" t="s">
        <v>235</v>
      </c>
      <c r="K615" t="s">
        <v>10</v>
      </c>
    </row>
    <row r="616" spans="3:11" x14ac:dyDescent="0.25">
      <c r="D616" t="s">
        <v>162</v>
      </c>
      <c r="E616" t="s">
        <v>510</v>
      </c>
      <c r="F616" t="s">
        <v>9</v>
      </c>
      <c r="G616" t="s">
        <v>521</v>
      </c>
    </row>
    <row r="617" spans="3:11" x14ac:dyDescent="0.25">
      <c r="J617" t="s">
        <v>237</v>
      </c>
      <c r="K617" t="s">
        <v>10</v>
      </c>
    </row>
    <row r="618" spans="3:11" x14ac:dyDescent="0.25">
      <c r="J618" t="s">
        <v>238</v>
      </c>
      <c r="K618" t="s">
        <v>10</v>
      </c>
    </row>
    <row r="619" spans="3:11" x14ac:dyDescent="0.25">
      <c r="C619" t="s">
        <v>163</v>
      </c>
    </row>
    <row r="620" spans="3:11" x14ac:dyDescent="0.25">
      <c r="D620" t="s">
        <v>165</v>
      </c>
      <c r="E620" t="s">
        <v>510</v>
      </c>
      <c r="F620" t="s">
        <v>164</v>
      </c>
      <c r="G620" t="s">
        <v>521</v>
      </c>
    </row>
    <row r="621" spans="3:11" x14ac:dyDescent="0.25">
      <c r="J621" t="s">
        <v>476</v>
      </c>
      <c r="K621" t="s">
        <v>14</v>
      </c>
    </row>
    <row r="622" spans="3:11" x14ac:dyDescent="0.25">
      <c r="J622" t="s">
        <v>477</v>
      </c>
      <c r="K622" t="s">
        <v>1</v>
      </c>
    </row>
    <row r="623" spans="3:11" x14ac:dyDescent="0.25">
      <c r="J623" t="s">
        <v>478</v>
      </c>
      <c r="K623" t="s">
        <v>1</v>
      </c>
    </row>
    <row r="624" spans="3:11" x14ac:dyDescent="0.25">
      <c r="D624" t="s">
        <v>166</v>
      </c>
      <c r="E624" t="s">
        <v>510</v>
      </c>
      <c r="F624" t="s">
        <v>164</v>
      </c>
      <c r="G624" t="s">
        <v>521</v>
      </c>
    </row>
    <row r="625" spans="3:11" x14ac:dyDescent="0.25">
      <c r="J625" t="s">
        <v>476</v>
      </c>
      <c r="K625" t="s">
        <v>14</v>
      </c>
    </row>
    <row r="626" spans="3:11" x14ac:dyDescent="0.25">
      <c r="J626" t="s">
        <v>477</v>
      </c>
      <c r="K626" t="s">
        <v>1</v>
      </c>
    </row>
    <row r="627" spans="3:11" x14ac:dyDescent="0.25">
      <c r="J627" t="s">
        <v>478</v>
      </c>
      <c r="K627" t="s">
        <v>1</v>
      </c>
    </row>
    <row r="628" spans="3:11" x14ac:dyDescent="0.25">
      <c r="D628" t="s">
        <v>167</v>
      </c>
      <c r="E628" t="s">
        <v>510</v>
      </c>
      <c r="F628" t="s">
        <v>164</v>
      </c>
      <c r="G628" t="s">
        <v>521</v>
      </c>
    </row>
    <row r="629" spans="3:11" x14ac:dyDescent="0.25">
      <c r="J629" t="s">
        <v>477</v>
      </c>
      <c r="K629" t="s">
        <v>1</v>
      </c>
    </row>
    <row r="630" spans="3:11" x14ac:dyDescent="0.25">
      <c r="J630" t="s">
        <v>256</v>
      </c>
      <c r="K630" t="s">
        <v>1</v>
      </c>
    </row>
    <row r="631" spans="3:11" x14ac:dyDescent="0.25">
      <c r="J631" t="s">
        <v>235</v>
      </c>
      <c r="K631" t="s">
        <v>10</v>
      </c>
    </row>
    <row r="632" spans="3:11" x14ac:dyDescent="0.25">
      <c r="C632" t="s">
        <v>168</v>
      </c>
    </row>
    <row r="633" spans="3:11" x14ac:dyDescent="0.25">
      <c r="D633" t="s">
        <v>170</v>
      </c>
      <c r="E633" t="s">
        <v>510</v>
      </c>
      <c r="F633" t="s">
        <v>169</v>
      </c>
      <c r="G633" t="s">
        <v>521</v>
      </c>
    </row>
    <row r="634" spans="3:11" x14ac:dyDescent="0.25">
      <c r="J634" t="s">
        <v>479</v>
      </c>
      <c r="K634" t="s">
        <v>1</v>
      </c>
    </row>
    <row r="635" spans="3:11" x14ac:dyDescent="0.25">
      <c r="D635" t="s">
        <v>171</v>
      </c>
      <c r="E635" t="s">
        <v>510</v>
      </c>
      <c r="F635" t="s">
        <v>169</v>
      </c>
      <c r="G635" t="s">
        <v>521</v>
      </c>
    </row>
    <row r="636" spans="3:11" x14ac:dyDescent="0.25">
      <c r="J636" t="s">
        <v>479</v>
      </c>
      <c r="K636" t="s">
        <v>1</v>
      </c>
    </row>
    <row r="637" spans="3:11" x14ac:dyDescent="0.25">
      <c r="D637" t="s">
        <v>172</v>
      </c>
      <c r="E637" t="s">
        <v>510</v>
      </c>
      <c r="F637" t="s">
        <v>169</v>
      </c>
      <c r="G637" t="s">
        <v>521</v>
      </c>
    </row>
    <row r="638" spans="3:11" x14ac:dyDescent="0.25">
      <c r="J638" t="s">
        <v>479</v>
      </c>
      <c r="K638" t="s">
        <v>1</v>
      </c>
    </row>
    <row r="639" spans="3:11" x14ac:dyDescent="0.25">
      <c r="D639" t="s">
        <v>173</v>
      </c>
      <c r="E639" t="s">
        <v>510</v>
      </c>
      <c r="F639" t="s">
        <v>169</v>
      </c>
      <c r="G639" t="s">
        <v>521</v>
      </c>
    </row>
    <row r="640" spans="3:11" x14ac:dyDescent="0.25">
      <c r="J640" t="s">
        <v>479</v>
      </c>
      <c r="K640" t="s">
        <v>1</v>
      </c>
    </row>
    <row r="641" spans="3:11" x14ac:dyDescent="0.25">
      <c r="D641" t="s">
        <v>174</v>
      </c>
      <c r="E641" t="s">
        <v>510</v>
      </c>
      <c r="F641" t="s">
        <v>169</v>
      </c>
      <c r="G641" t="s">
        <v>521</v>
      </c>
    </row>
    <row r="642" spans="3:11" x14ac:dyDescent="0.25">
      <c r="J642" t="s">
        <v>479</v>
      </c>
      <c r="K642" t="s">
        <v>1</v>
      </c>
    </row>
    <row r="643" spans="3:11" x14ac:dyDescent="0.25">
      <c r="J643" t="s">
        <v>235</v>
      </c>
      <c r="K643" t="s">
        <v>10</v>
      </c>
    </row>
    <row r="644" spans="3:11" x14ac:dyDescent="0.25">
      <c r="C644" t="s">
        <v>175</v>
      </c>
    </row>
    <row r="645" spans="3:11" x14ac:dyDescent="0.25">
      <c r="D645" t="s">
        <v>176</v>
      </c>
      <c r="E645" t="s">
        <v>510</v>
      </c>
      <c r="F645" t="s">
        <v>169</v>
      </c>
      <c r="G645" t="s">
        <v>521</v>
      </c>
    </row>
    <row r="646" spans="3:11" x14ac:dyDescent="0.25">
      <c r="J646" t="s">
        <v>480</v>
      </c>
      <c r="K646" t="s">
        <v>14</v>
      </c>
    </row>
    <row r="647" spans="3:11" x14ac:dyDescent="0.25">
      <c r="J647" t="s">
        <v>476</v>
      </c>
      <c r="K647" t="s">
        <v>14</v>
      </c>
    </row>
    <row r="648" spans="3:11" x14ac:dyDescent="0.25">
      <c r="J648" t="s">
        <v>235</v>
      </c>
      <c r="K648" t="s">
        <v>10</v>
      </c>
    </row>
    <row r="649" spans="3:11" x14ac:dyDescent="0.25">
      <c r="C649" t="s">
        <v>177</v>
      </c>
    </row>
    <row r="650" spans="3:11" x14ac:dyDescent="0.25">
      <c r="D650" t="s">
        <v>178</v>
      </c>
      <c r="E650" t="s">
        <v>510</v>
      </c>
      <c r="F650" t="s">
        <v>14</v>
      </c>
      <c r="G650" t="s">
        <v>521</v>
      </c>
    </row>
    <row r="651" spans="3:11" x14ac:dyDescent="0.25">
      <c r="J651" t="s">
        <v>481</v>
      </c>
      <c r="K651" t="s">
        <v>14</v>
      </c>
    </row>
    <row r="652" spans="3:11" x14ac:dyDescent="0.25">
      <c r="C652" t="s">
        <v>179</v>
      </c>
    </row>
    <row r="653" spans="3:11" x14ac:dyDescent="0.25">
      <c r="D653" t="s">
        <v>180</v>
      </c>
      <c r="E653" t="s">
        <v>510</v>
      </c>
      <c r="F653" t="s">
        <v>10</v>
      </c>
      <c r="G653" t="s">
        <v>521</v>
      </c>
    </row>
    <row r="654" spans="3:11" x14ac:dyDescent="0.25">
      <c r="J654" t="s">
        <v>475</v>
      </c>
      <c r="K654" t="s">
        <v>10</v>
      </c>
    </row>
    <row r="655" spans="3:11" x14ac:dyDescent="0.25">
      <c r="J655" t="s">
        <v>235</v>
      </c>
      <c r="K655" t="s">
        <v>10</v>
      </c>
    </row>
    <row r="656" spans="3:11" x14ac:dyDescent="0.25">
      <c r="D656" t="s">
        <v>181</v>
      </c>
      <c r="E656" t="s">
        <v>510</v>
      </c>
      <c r="F656" t="s">
        <v>10</v>
      </c>
      <c r="G656" t="s">
        <v>521</v>
      </c>
    </row>
    <row r="657" spans="3:11" x14ac:dyDescent="0.25">
      <c r="J657" t="s">
        <v>237</v>
      </c>
      <c r="K657" t="s">
        <v>10</v>
      </c>
    </row>
    <row r="658" spans="3:11" x14ac:dyDescent="0.25">
      <c r="D658" t="s">
        <v>182</v>
      </c>
      <c r="E658" t="s">
        <v>510</v>
      </c>
      <c r="F658" t="s">
        <v>10</v>
      </c>
      <c r="G658" t="s">
        <v>521</v>
      </c>
    </row>
    <row r="659" spans="3:11" x14ac:dyDescent="0.25">
      <c r="J659" t="s">
        <v>243</v>
      </c>
      <c r="K659" t="s">
        <v>10</v>
      </c>
    </row>
    <row r="660" spans="3:11" x14ac:dyDescent="0.25">
      <c r="J660" t="s">
        <v>235</v>
      </c>
      <c r="K660" t="s">
        <v>10</v>
      </c>
    </row>
    <row r="661" spans="3:11" x14ac:dyDescent="0.25">
      <c r="D661" t="s">
        <v>183</v>
      </c>
      <c r="E661" t="s">
        <v>510</v>
      </c>
      <c r="F661" t="s">
        <v>10</v>
      </c>
      <c r="G661" t="s">
        <v>521</v>
      </c>
    </row>
    <row r="662" spans="3:11" x14ac:dyDescent="0.25">
      <c r="J662" t="s">
        <v>243</v>
      </c>
      <c r="K662" t="s">
        <v>10</v>
      </c>
    </row>
    <row r="663" spans="3:11" x14ac:dyDescent="0.25">
      <c r="D663" t="s">
        <v>184</v>
      </c>
      <c r="E663" t="s">
        <v>510</v>
      </c>
      <c r="F663" t="s">
        <v>10</v>
      </c>
      <c r="G663" t="s">
        <v>521</v>
      </c>
    </row>
    <row r="664" spans="3:11" x14ac:dyDescent="0.25">
      <c r="J664" t="s">
        <v>255</v>
      </c>
      <c r="K664" t="s">
        <v>10</v>
      </c>
    </row>
    <row r="665" spans="3:11" x14ac:dyDescent="0.25">
      <c r="J665" t="s">
        <v>235</v>
      </c>
      <c r="K665" t="s">
        <v>10</v>
      </c>
    </row>
    <row r="666" spans="3:11" x14ac:dyDescent="0.25">
      <c r="C666" t="s">
        <v>185</v>
      </c>
    </row>
    <row r="667" spans="3:11" x14ac:dyDescent="0.25">
      <c r="D667" t="s">
        <v>186</v>
      </c>
      <c r="E667" t="s">
        <v>510</v>
      </c>
      <c r="F667" t="s">
        <v>14</v>
      </c>
      <c r="G667" t="s">
        <v>521</v>
      </c>
    </row>
    <row r="668" spans="3:11" x14ac:dyDescent="0.25">
      <c r="J668" t="s">
        <v>482</v>
      </c>
      <c r="K668" t="s">
        <v>14</v>
      </c>
    </row>
    <row r="669" spans="3:11" x14ac:dyDescent="0.25">
      <c r="C669" t="s">
        <v>187</v>
      </c>
    </row>
    <row r="670" spans="3:11" x14ac:dyDescent="0.25">
      <c r="D670" t="s">
        <v>188</v>
      </c>
      <c r="E670" t="s">
        <v>510</v>
      </c>
      <c r="F670" t="s">
        <v>14</v>
      </c>
      <c r="G670" t="s">
        <v>521</v>
      </c>
    </row>
    <row r="671" spans="3:11" x14ac:dyDescent="0.25">
      <c r="J671" t="s">
        <v>251</v>
      </c>
    </row>
    <row r="672" spans="3:11" x14ac:dyDescent="0.25">
      <c r="J672" t="s">
        <v>252</v>
      </c>
    </row>
    <row r="673" spans="4:11" x14ac:dyDescent="0.25">
      <c r="J673" t="s">
        <v>253</v>
      </c>
    </row>
    <row r="674" spans="4:11" x14ac:dyDescent="0.25">
      <c r="J674" t="s">
        <v>255</v>
      </c>
      <c r="K674" t="s">
        <v>10</v>
      </c>
    </row>
    <row r="675" spans="4:11" x14ac:dyDescent="0.25">
      <c r="J675" t="s">
        <v>235</v>
      </c>
      <c r="K675" t="s">
        <v>10</v>
      </c>
    </row>
    <row r="676" spans="4:11" x14ac:dyDescent="0.25">
      <c r="D676" t="s">
        <v>189</v>
      </c>
      <c r="E676" t="s">
        <v>510</v>
      </c>
      <c r="F676" t="s">
        <v>14</v>
      </c>
      <c r="G676" t="s">
        <v>521</v>
      </c>
    </row>
    <row r="677" spans="4:11" x14ac:dyDescent="0.25">
      <c r="J677" t="s">
        <v>251</v>
      </c>
    </row>
    <row r="678" spans="4:11" x14ac:dyDescent="0.25">
      <c r="J678" t="s">
        <v>252</v>
      </c>
    </row>
    <row r="679" spans="4:11" x14ac:dyDescent="0.25">
      <c r="J679" t="s">
        <v>253</v>
      </c>
    </row>
    <row r="680" spans="4:11" x14ac:dyDescent="0.25">
      <c r="J680" t="s">
        <v>255</v>
      </c>
      <c r="K680" t="s">
        <v>10</v>
      </c>
    </row>
    <row r="681" spans="4:11" x14ac:dyDescent="0.25">
      <c r="J681" t="s">
        <v>235</v>
      </c>
      <c r="K681" t="s">
        <v>10</v>
      </c>
    </row>
    <row r="682" spans="4:11" x14ac:dyDescent="0.25">
      <c r="D682" t="s">
        <v>190</v>
      </c>
      <c r="E682" t="s">
        <v>510</v>
      </c>
      <c r="F682" t="s">
        <v>14</v>
      </c>
      <c r="G682" t="s">
        <v>521</v>
      </c>
    </row>
    <row r="683" spans="4:11" x14ac:dyDescent="0.25">
      <c r="J683" t="s">
        <v>251</v>
      </c>
    </row>
    <row r="684" spans="4:11" x14ac:dyDescent="0.25">
      <c r="J684" t="s">
        <v>252</v>
      </c>
    </row>
    <row r="685" spans="4:11" x14ac:dyDescent="0.25">
      <c r="J685" t="s">
        <v>253</v>
      </c>
    </row>
    <row r="686" spans="4:11" x14ac:dyDescent="0.25">
      <c r="J686" t="s">
        <v>255</v>
      </c>
      <c r="K686" t="s">
        <v>10</v>
      </c>
    </row>
    <row r="687" spans="4:11" x14ac:dyDescent="0.25">
      <c r="J687" t="s">
        <v>235</v>
      </c>
      <c r="K687" t="s">
        <v>10</v>
      </c>
    </row>
    <row r="688" spans="4:11" x14ac:dyDescent="0.25">
      <c r="D688" t="s">
        <v>191</v>
      </c>
      <c r="E688" t="s">
        <v>510</v>
      </c>
      <c r="F688" t="s">
        <v>14</v>
      </c>
      <c r="G688" t="s">
        <v>521</v>
      </c>
    </row>
    <row r="689" spans="4:11" x14ac:dyDescent="0.25">
      <c r="J689" t="s">
        <v>251</v>
      </c>
    </row>
    <row r="690" spans="4:11" x14ac:dyDescent="0.25">
      <c r="J690" t="s">
        <v>252</v>
      </c>
    </row>
    <row r="691" spans="4:11" x14ac:dyDescent="0.25">
      <c r="J691" t="s">
        <v>253</v>
      </c>
    </row>
    <row r="692" spans="4:11" x14ac:dyDescent="0.25">
      <c r="J692" t="s">
        <v>255</v>
      </c>
      <c r="K692" t="s">
        <v>10</v>
      </c>
    </row>
    <row r="693" spans="4:11" x14ac:dyDescent="0.25">
      <c r="J693" t="s">
        <v>235</v>
      </c>
      <c r="K693" t="s">
        <v>10</v>
      </c>
    </row>
    <row r="694" spans="4:11" x14ac:dyDescent="0.25">
      <c r="D694" t="s">
        <v>192</v>
      </c>
      <c r="E694" t="s">
        <v>510</v>
      </c>
      <c r="F694" t="s">
        <v>14</v>
      </c>
      <c r="G694" t="s">
        <v>521</v>
      </c>
    </row>
    <row r="695" spans="4:11" x14ac:dyDescent="0.25">
      <c r="J695" t="s">
        <v>251</v>
      </c>
    </row>
    <row r="696" spans="4:11" x14ac:dyDescent="0.25">
      <c r="J696" t="s">
        <v>252</v>
      </c>
    </row>
    <row r="697" spans="4:11" x14ac:dyDescent="0.25">
      <c r="J697" t="s">
        <v>253</v>
      </c>
    </row>
    <row r="698" spans="4:11" x14ac:dyDescent="0.25">
      <c r="J698" t="s">
        <v>255</v>
      </c>
      <c r="K698" t="s">
        <v>10</v>
      </c>
    </row>
    <row r="699" spans="4:11" x14ac:dyDescent="0.25">
      <c r="J699" t="s">
        <v>235</v>
      </c>
      <c r="K699" t="s">
        <v>10</v>
      </c>
    </row>
    <row r="700" spans="4:11" x14ac:dyDescent="0.25">
      <c r="D700" t="s">
        <v>193</v>
      </c>
      <c r="E700" t="s">
        <v>510</v>
      </c>
      <c r="F700" t="s">
        <v>14</v>
      </c>
      <c r="G700" t="s">
        <v>521</v>
      </c>
    </row>
    <row r="701" spans="4:11" x14ac:dyDescent="0.25">
      <c r="J701" t="s">
        <v>255</v>
      </c>
      <c r="K701" t="s">
        <v>10</v>
      </c>
    </row>
    <row r="702" spans="4:11" x14ac:dyDescent="0.25">
      <c r="J702" t="s">
        <v>483</v>
      </c>
      <c r="K702" t="s">
        <v>10</v>
      </c>
    </row>
    <row r="703" spans="4:11" x14ac:dyDescent="0.25">
      <c r="J703" t="s">
        <v>484</v>
      </c>
      <c r="K703" t="s">
        <v>10</v>
      </c>
    </row>
    <row r="704" spans="4:11" x14ac:dyDescent="0.25">
      <c r="D704" t="s">
        <v>194</v>
      </c>
      <c r="E704" t="s">
        <v>510</v>
      </c>
      <c r="F704" t="s">
        <v>14</v>
      </c>
      <c r="G704" t="s">
        <v>521</v>
      </c>
    </row>
    <row r="705" spans="4:11" x14ac:dyDescent="0.25">
      <c r="J705" t="s">
        <v>251</v>
      </c>
    </row>
    <row r="706" spans="4:11" x14ac:dyDescent="0.25">
      <c r="J706" t="s">
        <v>252</v>
      </c>
    </row>
    <row r="707" spans="4:11" x14ac:dyDescent="0.25">
      <c r="J707" t="s">
        <v>253</v>
      </c>
    </row>
    <row r="708" spans="4:11" x14ac:dyDescent="0.25">
      <c r="J708" t="s">
        <v>255</v>
      </c>
      <c r="K708" t="s">
        <v>10</v>
      </c>
    </row>
    <row r="709" spans="4:11" x14ac:dyDescent="0.25">
      <c r="J709" t="s">
        <v>235</v>
      </c>
      <c r="K709" t="s">
        <v>10</v>
      </c>
    </row>
    <row r="710" spans="4:11" x14ac:dyDescent="0.25">
      <c r="D710" t="s">
        <v>195</v>
      </c>
      <c r="E710" t="s">
        <v>510</v>
      </c>
      <c r="F710" t="s">
        <v>14</v>
      </c>
      <c r="G710" t="s">
        <v>521</v>
      </c>
    </row>
    <row r="711" spans="4:11" x14ac:dyDescent="0.25">
      <c r="J711" t="s">
        <v>251</v>
      </c>
    </row>
    <row r="712" spans="4:11" x14ac:dyDescent="0.25">
      <c r="J712" t="s">
        <v>252</v>
      </c>
    </row>
    <row r="713" spans="4:11" x14ac:dyDescent="0.25">
      <c r="J713" t="s">
        <v>253</v>
      </c>
    </row>
    <row r="714" spans="4:11" x14ac:dyDescent="0.25">
      <c r="J714" t="s">
        <v>255</v>
      </c>
      <c r="K714" t="s">
        <v>10</v>
      </c>
    </row>
    <row r="715" spans="4:11" x14ac:dyDescent="0.25">
      <c r="J715" t="s">
        <v>235</v>
      </c>
      <c r="K715" t="s">
        <v>10</v>
      </c>
    </row>
    <row r="716" spans="4:11" x14ac:dyDescent="0.25">
      <c r="D716" t="s">
        <v>196</v>
      </c>
      <c r="E716" t="s">
        <v>510</v>
      </c>
      <c r="F716" t="s">
        <v>14</v>
      </c>
      <c r="G716" t="s">
        <v>521</v>
      </c>
    </row>
    <row r="717" spans="4:11" x14ac:dyDescent="0.25">
      <c r="J717" t="s">
        <v>251</v>
      </c>
    </row>
    <row r="718" spans="4:11" x14ac:dyDescent="0.25">
      <c r="J718" t="s">
        <v>252</v>
      </c>
    </row>
    <row r="719" spans="4:11" x14ac:dyDescent="0.25">
      <c r="J719" t="s">
        <v>253</v>
      </c>
    </row>
    <row r="720" spans="4:11" x14ac:dyDescent="0.25">
      <c r="J720" t="s">
        <v>255</v>
      </c>
      <c r="K720" t="s">
        <v>10</v>
      </c>
    </row>
    <row r="721" spans="3:11" x14ac:dyDescent="0.25">
      <c r="J721" t="s">
        <v>235</v>
      </c>
      <c r="K721" t="s">
        <v>10</v>
      </c>
    </row>
    <row r="722" spans="3:11" x14ac:dyDescent="0.25">
      <c r="D722" t="s">
        <v>197</v>
      </c>
      <c r="E722" t="s">
        <v>510</v>
      </c>
      <c r="F722" t="s">
        <v>14</v>
      </c>
      <c r="G722" t="s">
        <v>521</v>
      </c>
    </row>
    <row r="723" spans="3:11" x14ac:dyDescent="0.25">
      <c r="J723" t="s">
        <v>251</v>
      </c>
    </row>
    <row r="724" spans="3:11" x14ac:dyDescent="0.25">
      <c r="J724" t="s">
        <v>252</v>
      </c>
    </row>
    <row r="725" spans="3:11" x14ac:dyDescent="0.25">
      <c r="J725" t="s">
        <v>253</v>
      </c>
    </row>
    <row r="726" spans="3:11" x14ac:dyDescent="0.25">
      <c r="J726" t="s">
        <v>255</v>
      </c>
      <c r="K726" t="s">
        <v>10</v>
      </c>
    </row>
    <row r="727" spans="3:11" x14ac:dyDescent="0.25">
      <c r="J727" t="s">
        <v>235</v>
      </c>
      <c r="K727" t="s">
        <v>10</v>
      </c>
    </row>
    <row r="728" spans="3:11" x14ac:dyDescent="0.25">
      <c r="C728" t="s">
        <v>198</v>
      </c>
    </row>
    <row r="729" spans="3:11" x14ac:dyDescent="0.25">
      <c r="D729" t="s">
        <v>199</v>
      </c>
      <c r="E729" t="s">
        <v>510</v>
      </c>
      <c r="F729" t="s">
        <v>14</v>
      </c>
      <c r="G729" t="s">
        <v>521</v>
      </c>
    </row>
    <row r="730" spans="3:11" x14ac:dyDescent="0.25">
      <c r="J730" t="s">
        <v>251</v>
      </c>
    </row>
    <row r="731" spans="3:11" x14ac:dyDescent="0.25">
      <c r="J731" t="s">
        <v>252</v>
      </c>
    </row>
    <row r="732" spans="3:11" x14ac:dyDescent="0.25">
      <c r="J732" t="s">
        <v>253</v>
      </c>
    </row>
    <row r="733" spans="3:11" x14ac:dyDescent="0.25">
      <c r="J733" t="s">
        <v>255</v>
      </c>
      <c r="K733" t="s">
        <v>10</v>
      </c>
    </row>
    <row r="734" spans="3:11" x14ac:dyDescent="0.25">
      <c r="J734" t="s">
        <v>235</v>
      </c>
      <c r="K734" t="s">
        <v>10</v>
      </c>
    </row>
    <row r="735" spans="3:11" x14ac:dyDescent="0.25">
      <c r="D735" t="s">
        <v>200</v>
      </c>
      <c r="E735" t="s">
        <v>510</v>
      </c>
      <c r="F735" t="s">
        <v>14</v>
      </c>
      <c r="G735" t="s">
        <v>521</v>
      </c>
    </row>
    <row r="736" spans="3:11" x14ac:dyDescent="0.25">
      <c r="J736" t="s">
        <v>251</v>
      </c>
    </row>
    <row r="737" spans="3:11" x14ac:dyDescent="0.25">
      <c r="J737" t="s">
        <v>252</v>
      </c>
    </row>
    <row r="738" spans="3:11" x14ac:dyDescent="0.25">
      <c r="J738" t="s">
        <v>253</v>
      </c>
    </row>
    <row r="739" spans="3:11" x14ac:dyDescent="0.25">
      <c r="J739" t="s">
        <v>255</v>
      </c>
      <c r="K739" t="s">
        <v>10</v>
      </c>
    </row>
    <row r="740" spans="3:11" x14ac:dyDescent="0.25">
      <c r="J740" t="s">
        <v>235</v>
      </c>
      <c r="K740" t="s">
        <v>10</v>
      </c>
    </row>
    <row r="741" spans="3:11" x14ac:dyDescent="0.25">
      <c r="C741" t="s">
        <v>201</v>
      </c>
    </row>
    <row r="742" spans="3:11" x14ac:dyDescent="0.25">
      <c r="D742" t="s">
        <v>202</v>
      </c>
      <c r="E742" t="s">
        <v>510</v>
      </c>
      <c r="F742" t="s">
        <v>19</v>
      </c>
      <c r="G742" t="s">
        <v>521</v>
      </c>
    </row>
    <row r="743" spans="3:11" x14ac:dyDescent="0.25">
      <c r="J743" t="s">
        <v>251</v>
      </c>
    </row>
    <row r="744" spans="3:11" x14ac:dyDescent="0.25">
      <c r="J744" t="s">
        <v>252</v>
      </c>
    </row>
    <row r="745" spans="3:11" x14ac:dyDescent="0.25">
      <c r="J745" t="s">
        <v>253</v>
      </c>
    </row>
    <row r="746" spans="3:11" x14ac:dyDescent="0.25">
      <c r="J746" t="s">
        <v>255</v>
      </c>
      <c r="K746" t="s">
        <v>10</v>
      </c>
    </row>
    <row r="747" spans="3:11" x14ac:dyDescent="0.25">
      <c r="J747" t="s">
        <v>235</v>
      </c>
      <c r="K747" t="s">
        <v>10</v>
      </c>
    </row>
    <row r="748" spans="3:11" x14ac:dyDescent="0.25">
      <c r="D748" t="s">
        <v>203</v>
      </c>
      <c r="E748" t="s">
        <v>510</v>
      </c>
      <c r="F748" t="s">
        <v>19</v>
      </c>
      <c r="G748" t="s">
        <v>521</v>
      </c>
    </row>
    <row r="749" spans="3:11" x14ac:dyDescent="0.25">
      <c r="J749" t="s">
        <v>251</v>
      </c>
    </row>
    <row r="750" spans="3:11" x14ac:dyDescent="0.25">
      <c r="J750" t="s">
        <v>252</v>
      </c>
    </row>
    <row r="751" spans="3:11" x14ac:dyDescent="0.25">
      <c r="J751" t="s">
        <v>253</v>
      </c>
    </row>
    <row r="752" spans="3:11" x14ac:dyDescent="0.25">
      <c r="J752" t="s">
        <v>255</v>
      </c>
      <c r="K752" t="s">
        <v>10</v>
      </c>
    </row>
    <row r="753" spans="4:11" x14ac:dyDescent="0.25">
      <c r="J753" t="s">
        <v>235</v>
      </c>
      <c r="K753" t="s">
        <v>10</v>
      </c>
    </row>
    <row r="754" spans="4:11" x14ac:dyDescent="0.25">
      <c r="D754" t="s">
        <v>204</v>
      </c>
      <c r="E754" t="s">
        <v>510</v>
      </c>
      <c r="F754" t="s">
        <v>19</v>
      </c>
      <c r="G754" t="s">
        <v>521</v>
      </c>
    </row>
    <row r="755" spans="4:11" x14ac:dyDescent="0.25">
      <c r="J755" t="s">
        <v>251</v>
      </c>
    </row>
    <row r="756" spans="4:11" x14ac:dyDescent="0.25">
      <c r="J756" t="s">
        <v>252</v>
      </c>
    </row>
    <row r="757" spans="4:11" x14ac:dyDescent="0.25">
      <c r="J757" t="s">
        <v>253</v>
      </c>
    </row>
    <row r="758" spans="4:11" x14ac:dyDescent="0.25">
      <c r="J758" t="s">
        <v>255</v>
      </c>
      <c r="K758" t="s">
        <v>10</v>
      </c>
    </row>
    <row r="759" spans="4:11" x14ac:dyDescent="0.25">
      <c r="J759" t="s">
        <v>235</v>
      </c>
      <c r="K759" t="s">
        <v>10</v>
      </c>
    </row>
    <row r="760" spans="4:11" x14ac:dyDescent="0.25">
      <c r="D760" t="s">
        <v>205</v>
      </c>
      <c r="E760" t="s">
        <v>510</v>
      </c>
      <c r="F760" t="s">
        <v>19</v>
      </c>
      <c r="G760" t="s">
        <v>521</v>
      </c>
    </row>
    <row r="761" spans="4:11" x14ac:dyDescent="0.25">
      <c r="J761" t="s">
        <v>251</v>
      </c>
    </row>
    <row r="762" spans="4:11" x14ac:dyDescent="0.25">
      <c r="J762" t="s">
        <v>252</v>
      </c>
    </row>
    <row r="763" spans="4:11" x14ac:dyDescent="0.25">
      <c r="J763" t="s">
        <v>253</v>
      </c>
    </row>
    <row r="764" spans="4:11" x14ac:dyDescent="0.25">
      <c r="J764" t="s">
        <v>255</v>
      </c>
      <c r="K764" t="s">
        <v>10</v>
      </c>
    </row>
    <row r="765" spans="4:11" x14ac:dyDescent="0.25">
      <c r="J765" t="s">
        <v>235</v>
      </c>
      <c r="K765" t="s">
        <v>10</v>
      </c>
    </row>
    <row r="766" spans="4:11" x14ac:dyDescent="0.25">
      <c r="D766" t="s">
        <v>206</v>
      </c>
      <c r="E766" t="s">
        <v>510</v>
      </c>
      <c r="F766" t="s">
        <v>19</v>
      </c>
      <c r="G766" t="s">
        <v>521</v>
      </c>
    </row>
    <row r="767" spans="4:11" x14ac:dyDescent="0.25">
      <c r="J767" t="s">
        <v>251</v>
      </c>
    </row>
    <row r="768" spans="4:11" x14ac:dyDescent="0.25">
      <c r="J768" t="s">
        <v>252</v>
      </c>
    </row>
    <row r="769" spans="1:11" x14ac:dyDescent="0.25">
      <c r="J769" t="s">
        <v>253</v>
      </c>
    </row>
    <row r="770" spans="1:11" x14ac:dyDescent="0.25">
      <c r="J770" t="s">
        <v>255</v>
      </c>
      <c r="K770" t="s">
        <v>10</v>
      </c>
    </row>
    <row r="771" spans="1:11" x14ac:dyDescent="0.25">
      <c r="J771" t="s">
        <v>235</v>
      </c>
      <c r="K771" t="s">
        <v>10</v>
      </c>
    </row>
    <row r="772" spans="1:11" x14ac:dyDescent="0.25">
      <c r="D772" t="s">
        <v>207</v>
      </c>
      <c r="E772" t="s">
        <v>510</v>
      </c>
      <c r="F772" t="s">
        <v>19</v>
      </c>
      <c r="G772" t="s">
        <v>521</v>
      </c>
    </row>
    <row r="773" spans="1:11" x14ac:dyDescent="0.25">
      <c r="J773" t="s">
        <v>239</v>
      </c>
      <c r="K773" t="s">
        <v>10</v>
      </c>
    </row>
    <row r="774" spans="1:11" x14ac:dyDescent="0.25">
      <c r="J774" t="s">
        <v>246</v>
      </c>
    </row>
    <row r="775" spans="1:11" x14ac:dyDescent="0.25">
      <c r="J775" t="s">
        <v>477</v>
      </c>
      <c r="K775" t="s">
        <v>1</v>
      </c>
    </row>
    <row r="776" spans="1:11" x14ac:dyDescent="0.25">
      <c r="C776" t="s">
        <v>208</v>
      </c>
    </row>
    <row r="777" spans="1:11" x14ac:dyDescent="0.25">
      <c r="D777" t="s">
        <v>209</v>
      </c>
      <c r="E777" t="s">
        <v>510</v>
      </c>
      <c r="F777" t="s">
        <v>14</v>
      </c>
      <c r="G777" t="s">
        <v>521</v>
      </c>
    </row>
    <row r="778" spans="1:11" x14ac:dyDescent="0.25">
      <c r="J778" t="s">
        <v>477</v>
      </c>
      <c r="K778" t="s">
        <v>1</v>
      </c>
    </row>
    <row r="779" spans="1:11" x14ac:dyDescent="0.25">
      <c r="J779" t="s">
        <v>485</v>
      </c>
      <c r="K779" t="s">
        <v>529</v>
      </c>
    </row>
    <row r="780" spans="1:11" x14ac:dyDescent="0.25">
      <c r="A780" t="s">
        <v>210</v>
      </c>
    </row>
    <row r="781" spans="1:11" x14ac:dyDescent="0.25">
      <c r="B781" t="s">
        <v>211</v>
      </c>
    </row>
    <row r="782" spans="1:11" x14ac:dyDescent="0.25">
      <c r="C782" t="s">
        <v>212</v>
      </c>
    </row>
    <row r="783" spans="1:11" x14ac:dyDescent="0.25">
      <c r="D783" t="s">
        <v>213</v>
      </c>
      <c r="E783" t="s">
        <v>510</v>
      </c>
      <c r="F783" t="s">
        <v>9</v>
      </c>
      <c r="G783" t="s">
        <v>521</v>
      </c>
    </row>
    <row r="784" spans="1:11" x14ac:dyDescent="0.25">
      <c r="J784" t="s">
        <v>486</v>
      </c>
      <c r="K784" t="s">
        <v>9</v>
      </c>
    </row>
    <row r="785" spans="4:11" x14ac:dyDescent="0.25">
      <c r="D785" t="s">
        <v>214</v>
      </c>
      <c r="E785" t="s">
        <v>510</v>
      </c>
      <c r="F785" t="s">
        <v>9</v>
      </c>
      <c r="G785" t="s">
        <v>521</v>
      </c>
    </row>
    <row r="786" spans="4:11" x14ac:dyDescent="0.25">
      <c r="J786" t="s">
        <v>489</v>
      </c>
      <c r="K786" t="s">
        <v>9</v>
      </c>
    </row>
    <row r="787" spans="4:11" x14ac:dyDescent="0.25">
      <c r="J787" t="s">
        <v>490</v>
      </c>
      <c r="K787" t="s">
        <v>9</v>
      </c>
    </row>
    <row r="788" spans="4:11" x14ac:dyDescent="0.25">
      <c r="D788" t="s">
        <v>215</v>
      </c>
      <c r="E788" t="s">
        <v>510</v>
      </c>
      <c r="F788" t="s">
        <v>9</v>
      </c>
      <c r="G788" t="s">
        <v>521</v>
      </c>
    </row>
    <row r="789" spans="4:11" x14ac:dyDescent="0.25">
      <c r="J789" t="s">
        <v>486</v>
      </c>
      <c r="K789" t="s">
        <v>9</v>
      </c>
    </row>
    <row r="790" spans="4:11" x14ac:dyDescent="0.25">
      <c r="D790" t="s">
        <v>216</v>
      </c>
      <c r="E790" t="s">
        <v>510</v>
      </c>
      <c r="F790" t="s">
        <v>9</v>
      </c>
      <c r="G790" t="s">
        <v>521</v>
      </c>
    </row>
    <row r="791" spans="4:11" x14ac:dyDescent="0.25">
      <c r="J791" t="s">
        <v>486</v>
      </c>
      <c r="K791" t="s">
        <v>9</v>
      </c>
    </row>
    <row r="792" spans="4:11" x14ac:dyDescent="0.25">
      <c r="D792" t="s">
        <v>217</v>
      </c>
      <c r="E792" t="s">
        <v>510</v>
      </c>
      <c r="F792" t="s">
        <v>9</v>
      </c>
      <c r="G792" t="s">
        <v>521</v>
      </c>
    </row>
    <row r="793" spans="4:11" x14ac:dyDescent="0.25">
      <c r="J793" t="s">
        <v>486</v>
      </c>
      <c r="K793" t="s">
        <v>9</v>
      </c>
    </row>
    <row r="794" spans="4:11" x14ac:dyDescent="0.25">
      <c r="D794" t="s">
        <v>218</v>
      </c>
      <c r="E794" t="s">
        <v>510</v>
      </c>
      <c r="F794" t="s">
        <v>9</v>
      </c>
      <c r="G794" t="s">
        <v>521</v>
      </c>
    </row>
    <row r="795" spans="4:11" x14ac:dyDescent="0.25">
      <c r="J795" t="s">
        <v>486</v>
      </c>
      <c r="K795" t="s">
        <v>9</v>
      </c>
    </row>
    <row r="796" spans="4:11" x14ac:dyDescent="0.25">
      <c r="D796" t="s">
        <v>219</v>
      </c>
      <c r="E796" t="s">
        <v>510</v>
      </c>
      <c r="F796" t="s">
        <v>9</v>
      </c>
      <c r="G796" t="s">
        <v>521</v>
      </c>
    </row>
    <row r="797" spans="4:11" x14ac:dyDescent="0.25">
      <c r="J797" t="s">
        <v>486</v>
      </c>
      <c r="K797" t="s">
        <v>9</v>
      </c>
    </row>
    <row r="798" spans="4:11" x14ac:dyDescent="0.25">
      <c r="D798" t="s">
        <v>220</v>
      </c>
      <c r="E798" t="s">
        <v>510</v>
      </c>
      <c r="F798" t="s">
        <v>9</v>
      </c>
      <c r="G798" t="s">
        <v>521</v>
      </c>
    </row>
    <row r="799" spans="4:11" x14ac:dyDescent="0.25">
      <c r="J799" t="s">
        <v>486</v>
      </c>
      <c r="K799" t="s">
        <v>9</v>
      </c>
    </row>
    <row r="800" spans="4:11" x14ac:dyDescent="0.25">
      <c r="D800" t="s">
        <v>221</v>
      </c>
      <c r="E800" t="s">
        <v>510</v>
      </c>
      <c r="F800" t="s">
        <v>9</v>
      </c>
      <c r="G800" t="s">
        <v>521</v>
      </c>
    </row>
    <row r="801" spans="3:11" x14ac:dyDescent="0.25">
      <c r="J801" t="s">
        <v>486</v>
      </c>
      <c r="K801" t="s">
        <v>9</v>
      </c>
    </row>
    <row r="802" spans="3:11" x14ac:dyDescent="0.25">
      <c r="D802" t="s">
        <v>222</v>
      </c>
      <c r="E802" t="s">
        <v>510</v>
      </c>
      <c r="F802" t="s">
        <v>9</v>
      </c>
      <c r="G802" t="s">
        <v>521</v>
      </c>
    </row>
    <row r="803" spans="3:11" x14ac:dyDescent="0.25">
      <c r="J803" t="s">
        <v>486</v>
      </c>
      <c r="K803" t="s">
        <v>9</v>
      </c>
    </row>
    <row r="804" spans="3:11" x14ac:dyDescent="0.25">
      <c r="C804" t="s">
        <v>223</v>
      </c>
    </row>
    <row r="805" spans="3:11" x14ac:dyDescent="0.25">
      <c r="D805" t="s">
        <v>224</v>
      </c>
      <c r="E805" t="s">
        <v>510</v>
      </c>
      <c r="F805" t="s">
        <v>14</v>
      </c>
      <c r="G805" t="s">
        <v>521</v>
      </c>
    </row>
    <row r="806" spans="3:11" x14ac:dyDescent="0.25">
      <c r="J806" t="s">
        <v>488</v>
      </c>
      <c r="K806" t="s">
        <v>14</v>
      </c>
    </row>
    <row r="807" spans="3:11" x14ac:dyDescent="0.25">
      <c r="D807" t="s">
        <v>225</v>
      </c>
      <c r="E807" t="s">
        <v>510</v>
      </c>
      <c r="F807" t="s">
        <v>14</v>
      </c>
      <c r="G807" t="s">
        <v>521</v>
      </c>
    </row>
    <row r="808" spans="3:11" x14ac:dyDescent="0.25">
      <c r="J808" t="s">
        <v>487</v>
      </c>
      <c r="K808" t="s">
        <v>14</v>
      </c>
    </row>
    <row r="809" spans="3:11" x14ac:dyDescent="0.25">
      <c r="C809" t="s">
        <v>226</v>
      </c>
    </row>
    <row r="810" spans="3:11" x14ac:dyDescent="0.25">
      <c r="D810" t="s">
        <v>227</v>
      </c>
      <c r="E810" t="s">
        <v>510</v>
      </c>
      <c r="F810" t="s">
        <v>9</v>
      </c>
      <c r="G810" t="s">
        <v>521</v>
      </c>
    </row>
    <row r="811" spans="3:11" x14ac:dyDescent="0.25">
      <c r="J811" t="s">
        <v>486</v>
      </c>
      <c r="K811" t="s">
        <v>9</v>
      </c>
    </row>
    <row r="812" spans="3:11" x14ac:dyDescent="0.25">
      <c r="C812" t="s">
        <v>228</v>
      </c>
    </row>
    <row r="813" spans="3:11" x14ac:dyDescent="0.25">
      <c r="D813" t="s">
        <v>229</v>
      </c>
      <c r="E813" t="s">
        <v>510</v>
      </c>
      <c r="F813" t="s">
        <v>9</v>
      </c>
      <c r="G813" t="s">
        <v>521</v>
      </c>
    </row>
    <row r="814" spans="3:11" x14ac:dyDescent="0.25">
      <c r="J814" t="s">
        <v>486</v>
      </c>
      <c r="K814" t="s">
        <v>9</v>
      </c>
    </row>
    <row r="815" spans="3:11" x14ac:dyDescent="0.25">
      <c r="D815" t="s">
        <v>230</v>
      </c>
      <c r="E815" t="s">
        <v>510</v>
      </c>
      <c r="F815" t="s">
        <v>9</v>
      </c>
      <c r="G815" t="s">
        <v>521</v>
      </c>
    </row>
    <row r="816" spans="3:11" x14ac:dyDescent="0.25">
      <c r="J816" t="s">
        <v>486</v>
      </c>
      <c r="K816" t="s">
        <v>9</v>
      </c>
    </row>
    <row r="817" spans="4:11" x14ac:dyDescent="0.25">
      <c r="D817" t="s">
        <v>231</v>
      </c>
      <c r="E817" t="s">
        <v>510</v>
      </c>
      <c r="F817" t="s">
        <v>9</v>
      </c>
      <c r="G817" t="s">
        <v>521</v>
      </c>
    </row>
    <row r="818" spans="4:11" x14ac:dyDescent="0.25">
      <c r="J818" t="s">
        <v>486</v>
      </c>
      <c r="K818" t="s">
        <v>9</v>
      </c>
    </row>
    <row r="819" spans="4:11" x14ac:dyDescent="0.25">
      <c r="D819" t="s">
        <v>232</v>
      </c>
      <c r="E819" t="s">
        <v>510</v>
      </c>
      <c r="F819" t="s">
        <v>9</v>
      </c>
      <c r="G819" t="s">
        <v>521</v>
      </c>
    </row>
    <row r="820" spans="4:11" x14ac:dyDescent="0.25">
      <c r="J820" t="s">
        <v>486</v>
      </c>
      <c r="K820" t="s">
        <v>9</v>
      </c>
    </row>
  </sheetData>
  <autoFilter ref="A1:P820" xr:uid="{B947289A-475A-47CD-8231-EB9ACCE280B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0433A-6494-4660-BD06-866A0E35D76F}">
  <dimension ref="A1:F8"/>
  <sheetViews>
    <sheetView workbookViewId="0">
      <selection activeCell="F8" sqref="F8"/>
    </sheetView>
  </sheetViews>
  <sheetFormatPr defaultRowHeight="15" x14ac:dyDescent="0.25"/>
  <sheetData>
    <row r="1" spans="1:6" x14ac:dyDescent="0.25">
      <c r="A1" t="s">
        <v>266</v>
      </c>
    </row>
    <row r="2" spans="1:6" x14ac:dyDescent="0.25">
      <c r="A2" t="s">
        <v>263</v>
      </c>
      <c r="C2" t="s">
        <v>264</v>
      </c>
      <c r="E2" t="s">
        <v>265</v>
      </c>
    </row>
    <row r="3" spans="1:6" x14ac:dyDescent="0.25">
      <c r="A3" t="s">
        <v>267</v>
      </c>
    </row>
    <row r="4" spans="1:6" x14ac:dyDescent="0.25">
      <c r="C4" t="s">
        <v>268</v>
      </c>
    </row>
    <row r="5" spans="1:6" x14ac:dyDescent="0.25">
      <c r="E5" t="s">
        <v>269</v>
      </c>
    </row>
    <row r="6" spans="1:6" x14ac:dyDescent="0.25">
      <c r="E6" t="s">
        <v>270</v>
      </c>
    </row>
    <row r="7" spans="1:6" x14ac:dyDescent="0.25">
      <c r="E7" t="s">
        <v>271</v>
      </c>
    </row>
    <row r="8" spans="1:6" x14ac:dyDescent="0.25">
      <c r="E8" t="s">
        <v>272</v>
      </c>
      <c r="F8"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2217-45B2-49CF-AE06-8B21B5A3ADD7}">
  <dimension ref="A1:C219"/>
  <sheetViews>
    <sheetView topLeftCell="A91" workbookViewId="0">
      <selection activeCell="C118" activeCellId="2" sqref="C111:C114 C116 C118:C121"/>
    </sheetView>
  </sheetViews>
  <sheetFormatPr defaultRowHeight="15" x14ac:dyDescent="0.25"/>
  <cols>
    <col min="1" max="1" width="8.5703125" bestFit="1" customWidth="1"/>
  </cols>
  <sheetData>
    <row r="1" spans="1:3" x14ac:dyDescent="0.25">
      <c r="A1" t="s">
        <v>0</v>
      </c>
      <c r="B1" t="s">
        <v>274</v>
      </c>
      <c r="C1" t="s">
        <v>275</v>
      </c>
    </row>
    <row r="2" spans="1:3" x14ac:dyDescent="0.25">
      <c r="A2" t="s">
        <v>276</v>
      </c>
    </row>
    <row r="3" spans="1:3" x14ac:dyDescent="0.25">
      <c r="B3" t="s">
        <v>277</v>
      </c>
    </row>
    <row r="4" spans="1:3" x14ac:dyDescent="0.25">
      <c r="C4" t="s">
        <v>278</v>
      </c>
    </row>
    <row r="5" spans="1:3" x14ac:dyDescent="0.25">
      <c r="C5" t="s">
        <v>279</v>
      </c>
    </row>
    <row r="6" spans="1:3" x14ac:dyDescent="0.25">
      <c r="C6" t="s">
        <v>280</v>
      </c>
    </row>
    <row r="7" spans="1:3" x14ac:dyDescent="0.25">
      <c r="C7" t="s">
        <v>281</v>
      </c>
    </row>
    <row r="8" spans="1:3" x14ac:dyDescent="0.25">
      <c r="C8" t="s">
        <v>282</v>
      </c>
    </row>
    <row r="9" spans="1:3" x14ac:dyDescent="0.25">
      <c r="C9" t="s">
        <v>283</v>
      </c>
    </row>
    <row r="10" spans="1:3" x14ac:dyDescent="0.25">
      <c r="C10" t="s">
        <v>284</v>
      </c>
    </row>
    <row r="11" spans="1:3" x14ac:dyDescent="0.25">
      <c r="C11" t="s">
        <v>285</v>
      </c>
    </row>
    <row r="12" spans="1:3" x14ac:dyDescent="0.25">
      <c r="C12" t="s">
        <v>286</v>
      </c>
    </row>
    <row r="13" spans="1:3" x14ac:dyDescent="0.25">
      <c r="B13" t="s">
        <v>287</v>
      </c>
    </row>
    <row r="14" spans="1:3" x14ac:dyDescent="0.25">
      <c r="C14" t="s">
        <v>288</v>
      </c>
    </row>
    <row r="15" spans="1:3" x14ac:dyDescent="0.25">
      <c r="C15" t="s">
        <v>289</v>
      </c>
    </row>
    <row r="16" spans="1:3" x14ac:dyDescent="0.25">
      <c r="C16" t="s">
        <v>290</v>
      </c>
    </row>
    <row r="17" spans="1:3" x14ac:dyDescent="0.25">
      <c r="C17" t="s">
        <v>291</v>
      </c>
    </row>
    <row r="18" spans="1:3" x14ac:dyDescent="0.25">
      <c r="C18" t="s">
        <v>292</v>
      </c>
    </row>
    <row r="19" spans="1:3" x14ac:dyDescent="0.25">
      <c r="C19" t="s">
        <v>293</v>
      </c>
    </row>
    <row r="20" spans="1:3" x14ac:dyDescent="0.25">
      <c r="C20" t="s">
        <v>294</v>
      </c>
    </row>
    <row r="21" spans="1:3" x14ac:dyDescent="0.25">
      <c r="C21" t="s">
        <v>295</v>
      </c>
    </row>
    <row r="22" spans="1:3" x14ac:dyDescent="0.25">
      <c r="A22" t="s">
        <v>465</v>
      </c>
    </row>
    <row r="23" spans="1:3" x14ac:dyDescent="0.25">
      <c r="B23" t="s">
        <v>466</v>
      </c>
    </row>
    <row r="24" spans="1:3" x14ac:dyDescent="0.25">
      <c r="C24" t="s">
        <v>467</v>
      </c>
    </row>
    <row r="26" spans="1:3" x14ac:dyDescent="0.25">
      <c r="A26" t="s">
        <v>1</v>
      </c>
      <c r="B26" t="s">
        <v>296</v>
      </c>
      <c r="C26" t="s">
        <v>297</v>
      </c>
    </row>
    <row r="27" spans="1:3" x14ac:dyDescent="0.25">
      <c r="A27" t="s">
        <v>298</v>
      </c>
    </row>
    <row r="28" spans="1:3" x14ac:dyDescent="0.25">
      <c r="B28" t="s">
        <v>299</v>
      </c>
    </row>
    <row r="29" spans="1:3" x14ac:dyDescent="0.25">
      <c r="C29" t="s">
        <v>300</v>
      </c>
    </row>
    <row r="30" spans="1:3" x14ac:dyDescent="0.25">
      <c r="C30" t="s">
        <v>301</v>
      </c>
    </row>
    <row r="31" spans="1:3" x14ac:dyDescent="0.25">
      <c r="C31" t="s">
        <v>302</v>
      </c>
    </row>
    <row r="32" spans="1:3" x14ac:dyDescent="0.25">
      <c r="C32" t="s">
        <v>303</v>
      </c>
    </row>
    <row r="33" spans="1:3" x14ac:dyDescent="0.25">
      <c r="C33" t="s">
        <v>304</v>
      </c>
    </row>
    <row r="34" spans="1:3" x14ac:dyDescent="0.25">
      <c r="C34" t="s">
        <v>305</v>
      </c>
    </row>
    <row r="35" spans="1:3" x14ac:dyDescent="0.25">
      <c r="B35" t="s">
        <v>306</v>
      </c>
    </row>
    <row r="36" spans="1:3" x14ac:dyDescent="0.25">
      <c r="C36" t="s">
        <v>307</v>
      </c>
    </row>
    <row r="37" spans="1:3" x14ac:dyDescent="0.25">
      <c r="B37" t="s">
        <v>308</v>
      </c>
    </row>
    <row r="38" spans="1:3" x14ac:dyDescent="0.25">
      <c r="C38" t="s">
        <v>309</v>
      </c>
    </row>
    <row r="39" spans="1:3" x14ac:dyDescent="0.25">
      <c r="C39" t="s">
        <v>310</v>
      </c>
    </row>
    <row r="40" spans="1:3" x14ac:dyDescent="0.25">
      <c r="C40" t="s">
        <v>311</v>
      </c>
    </row>
    <row r="41" spans="1:3" x14ac:dyDescent="0.25">
      <c r="C41" t="s">
        <v>312</v>
      </c>
    </row>
    <row r="42" spans="1:3" x14ac:dyDescent="0.25">
      <c r="A42" t="s">
        <v>313</v>
      </c>
    </row>
    <row r="43" spans="1:3" x14ac:dyDescent="0.25">
      <c r="B43" t="s">
        <v>314</v>
      </c>
    </row>
    <row r="44" spans="1:3" x14ac:dyDescent="0.25">
      <c r="C44" t="s">
        <v>315</v>
      </c>
    </row>
    <row r="45" spans="1:3" x14ac:dyDescent="0.25">
      <c r="B45" t="s">
        <v>316</v>
      </c>
    </row>
    <row r="46" spans="1:3" x14ac:dyDescent="0.25">
      <c r="C46" t="s">
        <v>309</v>
      </c>
    </row>
    <row r="47" spans="1:3" x14ac:dyDescent="0.25">
      <c r="C47" t="s">
        <v>317</v>
      </c>
    </row>
    <row r="48" spans="1:3" x14ac:dyDescent="0.25">
      <c r="C48" t="s">
        <v>311</v>
      </c>
    </row>
    <row r="49" spans="1:3" x14ac:dyDescent="0.25">
      <c r="C49" t="s">
        <v>312</v>
      </c>
    </row>
    <row r="50" spans="1:3" x14ac:dyDescent="0.25">
      <c r="A50" t="s">
        <v>318</v>
      </c>
    </row>
    <row r="51" spans="1:3" x14ac:dyDescent="0.25">
      <c r="B51" t="s">
        <v>319</v>
      </c>
    </row>
    <row r="52" spans="1:3" x14ac:dyDescent="0.25">
      <c r="C52" t="s">
        <v>320</v>
      </c>
    </row>
    <row r="53" spans="1:3" x14ac:dyDescent="0.25">
      <c r="C53" t="s">
        <v>321</v>
      </c>
    </row>
    <row r="54" spans="1:3" x14ac:dyDescent="0.25">
      <c r="C54" t="s">
        <v>322</v>
      </c>
    </row>
    <row r="55" spans="1:3" x14ac:dyDescent="0.25">
      <c r="C55" t="s">
        <v>323</v>
      </c>
    </row>
    <row r="56" spans="1:3" x14ac:dyDescent="0.25">
      <c r="C56" t="s">
        <v>324</v>
      </c>
    </row>
    <row r="57" spans="1:3" x14ac:dyDescent="0.25">
      <c r="C57" t="s">
        <v>325</v>
      </c>
    </row>
    <row r="58" spans="1:3" x14ac:dyDescent="0.25">
      <c r="C58" t="s">
        <v>317</v>
      </c>
    </row>
    <row r="59" spans="1:3" x14ac:dyDescent="0.25">
      <c r="C59" t="s">
        <v>326</v>
      </c>
    </row>
    <row r="60" spans="1:3" x14ac:dyDescent="0.25">
      <c r="C60" t="s">
        <v>327</v>
      </c>
    </row>
    <row r="61" spans="1:3" x14ac:dyDescent="0.25">
      <c r="C61" t="s">
        <v>328</v>
      </c>
    </row>
    <row r="62" spans="1:3" x14ac:dyDescent="0.25">
      <c r="C62" t="s">
        <v>329</v>
      </c>
    </row>
    <row r="63" spans="1:3" x14ac:dyDescent="0.25">
      <c r="C63" t="s">
        <v>311</v>
      </c>
    </row>
    <row r="64" spans="1:3" x14ac:dyDescent="0.25">
      <c r="C64" t="s">
        <v>309</v>
      </c>
    </row>
    <row r="65" spans="1:3" x14ac:dyDescent="0.25">
      <c r="C65" t="s">
        <v>312</v>
      </c>
    </row>
    <row r="66" spans="1:3" x14ac:dyDescent="0.25">
      <c r="B66" t="s">
        <v>330</v>
      </c>
    </row>
    <row r="67" spans="1:3" x14ac:dyDescent="0.25">
      <c r="C67" t="s">
        <v>331</v>
      </c>
    </row>
    <row r="68" spans="1:3" x14ac:dyDescent="0.25">
      <c r="C68" t="s">
        <v>332</v>
      </c>
    </row>
    <row r="69" spans="1:3" x14ac:dyDescent="0.25">
      <c r="A69" t="s">
        <v>333</v>
      </c>
    </row>
    <row r="70" spans="1:3" x14ac:dyDescent="0.25">
      <c r="B70" t="s">
        <v>334</v>
      </c>
    </row>
    <row r="71" spans="1:3" x14ac:dyDescent="0.25">
      <c r="C71" t="s">
        <v>335</v>
      </c>
    </row>
    <row r="72" spans="1:3" x14ac:dyDescent="0.25">
      <c r="C72" t="s">
        <v>336</v>
      </c>
    </row>
    <row r="73" spans="1:3" x14ac:dyDescent="0.25">
      <c r="C73" t="s">
        <v>337</v>
      </c>
    </row>
    <row r="74" spans="1:3" x14ac:dyDescent="0.25">
      <c r="C74" t="s">
        <v>338</v>
      </c>
    </row>
    <row r="75" spans="1:3" x14ac:dyDescent="0.25">
      <c r="C75" t="s">
        <v>339</v>
      </c>
    </row>
    <row r="76" spans="1:3" x14ac:dyDescent="0.25">
      <c r="C76" t="s">
        <v>309</v>
      </c>
    </row>
    <row r="77" spans="1:3" x14ac:dyDescent="0.25">
      <c r="C77" t="s">
        <v>340</v>
      </c>
    </row>
    <row r="78" spans="1:3" x14ac:dyDescent="0.25">
      <c r="C78" t="s">
        <v>341</v>
      </c>
    </row>
    <row r="79" spans="1:3" x14ac:dyDescent="0.25">
      <c r="C79" t="s">
        <v>342</v>
      </c>
    </row>
    <row r="80" spans="1:3" x14ac:dyDescent="0.25">
      <c r="A80" t="s">
        <v>343</v>
      </c>
    </row>
    <row r="81" spans="2:3" x14ac:dyDescent="0.25">
      <c r="B81" t="s">
        <v>344</v>
      </c>
    </row>
    <row r="82" spans="2:3" x14ac:dyDescent="0.25">
      <c r="C82" t="s">
        <v>345</v>
      </c>
    </row>
    <row r="83" spans="2:3" x14ac:dyDescent="0.25">
      <c r="C83" t="s">
        <v>346</v>
      </c>
    </row>
    <row r="84" spans="2:3" x14ac:dyDescent="0.25">
      <c r="C84" t="s">
        <v>347</v>
      </c>
    </row>
    <row r="85" spans="2:3" x14ac:dyDescent="0.25">
      <c r="C85" t="s">
        <v>348</v>
      </c>
    </row>
    <row r="86" spans="2:3" x14ac:dyDescent="0.25">
      <c r="C86" t="s">
        <v>349</v>
      </c>
    </row>
    <row r="87" spans="2:3" x14ac:dyDescent="0.25">
      <c r="B87" t="s">
        <v>350</v>
      </c>
    </row>
    <row r="88" spans="2:3" x14ac:dyDescent="0.25">
      <c r="C88" t="s">
        <v>351</v>
      </c>
    </row>
    <row r="89" spans="2:3" x14ac:dyDescent="0.25">
      <c r="C89" t="s">
        <v>352</v>
      </c>
    </row>
    <row r="90" spans="2:3" x14ac:dyDescent="0.25">
      <c r="C90" t="s">
        <v>353</v>
      </c>
    </row>
    <row r="91" spans="2:3" x14ac:dyDescent="0.25">
      <c r="C91" t="s">
        <v>354</v>
      </c>
    </row>
    <row r="92" spans="2:3" x14ac:dyDescent="0.25">
      <c r="C92" t="s">
        <v>355</v>
      </c>
    </row>
    <row r="93" spans="2:3" x14ac:dyDescent="0.25">
      <c r="C93" t="s">
        <v>356</v>
      </c>
    </row>
    <row r="94" spans="2:3" x14ac:dyDescent="0.25">
      <c r="C94" t="s">
        <v>357</v>
      </c>
    </row>
    <row r="95" spans="2:3" x14ac:dyDescent="0.25">
      <c r="B95" t="s">
        <v>358</v>
      </c>
    </row>
    <row r="96" spans="2:3" x14ac:dyDescent="0.25">
      <c r="C96" t="s">
        <v>359</v>
      </c>
    </row>
    <row r="97" spans="1:3" x14ac:dyDescent="0.25">
      <c r="C97" t="s">
        <v>360</v>
      </c>
    </row>
    <row r="98" spans="1:3" x14ac:dyDescent="0.25">
      <c r="C98" t="s">
        <v>361</v>
      </c>
    </row>
    <row r="99" spans="1:3" x14ac:dyDescent="0.25">
      <c r="C99" t="s">
        <v>362</v>
      </c>
    </row>
    <row r="100" spans="1:3" x14ac:dyDescent="0.25">
      <c r="C100" t="s">
        <v>363</v>
      </c>
    </row>
    <row r="101" spans="1:3" x14ac:dyDescent="0.25">
      <c r="B101" t="s">
        <v>364</v>
      </c>
    </row>
    <row r="102" spans="1:3" x14ac:dyDescent="0.25">
      <c r="C102" t="s">
        <v>309</v>
      </c>
    </row>
    <row r="103" spans="1:3" x14ac:dyDescent="0.25">
      <c r="C103" t="s">
        <v>317</v>
      </c>
    </row>
    <row r="104" spans="1:3" x14ac:dyDescent="0.25">
      <c r="C104" t="s">
        <v>311</v>
      </c>
    </row>
    <row r="105" spans="1:3" x14ac:dyDescent="0.25">
      <c r="C105" t="s">
        <v>312</v>
      </c>
    </row>
    <row r="106" spans="1:3" x14ac:dyDescent="0.25">
      <c r="C106" t="s">
        <v>365</v>
      </c>
    </row>
    <row r="107" spans="1:3" x14ac:dyDescent="0.25">
      <c r="C107" t="s">
        <v>366</v>
      </c>
    </row>
    <row r="108" spans="1:3" x14ac:dyDescent="0.25">
      <c r="C108" t="s">
        <v>367</v>
      </c>
    </row>
    <row r="109" spans="1:3" x14ac:dyDescent="0.25">
      <c r="A109" t="s">
        <v>368</v>
      </c>
    </row>
    <row r="110" spans="1:3" x14ac:dyDescent="0.25">
      <c r="B110" t="s">
        <v>369</v>
      </c>
    </row>
    <row r="111" spans="1:3" x14ac:dyDescent="0.25">
      <c r="C111" t="s">
        <v>370</v>
      </c>
    </row>
    <row r="112" spans="1:3" x14ac:dyDescent="0.25">
      <c r="C112" t="s">
        <v>371</v>
      </c>
    </row>
    <row r="113" spans="1:3" x14ac:dyDescent="0.25">
      <c r="C113" t="s">
        <v>372</v>
      </c>
    </row>
    <row r="114" spans="1:3" x14ac:dyDescent="0.25">
      <c r="C114" t="s">
        <v>373</v>
      </c>
    </row>
    <row r="115" spans="1:3" x14ac:dyDescent="0.25">
      <c r="B115" t="s">
        <v>374</v>
      </c>
    </row>
    <row r="116" spans="1:3" x14ac:dyDescent="0.25">
      <c r="C116" t="s">
        <v>375</v>
      </c>
    </row>
    <row r="117" spans="1:3" x14ac:dyDescent="0.25">
      <c r="B117" t="s">
        <v>376</v>
      </c>
    </row>
    <row r="118" spans="1:3" x14ac:dyDescent="0.25">
      <c r="C118" t="s">
        <v>309</v>
      </c>
    </row>
    <row r="119" spans="1:3" x14ac:dyDescent="0.25">
      <c r="C119" t="s">
        <v>317</v>
      </c>
    </row>
    <row r="120" spans="1:3" x14ac:dyDescent="0.25">
      <c r="C120" t="s">
        <v>311</v>
      </c>
    </row>
    <row r="121" spans="1:3" x14ac:dyDescent="0.25">
      <c r="C121" t="s">
        <v>312</v>
      </c>
    </row>
    <row r="122" spans="1:3" x14ac:dyDescent="0.25">
      <c r="A122" t="s">
        <v>377</v>
      </c>
    </row>
    <row r="123" spans="1:3" x14ac:dyDescent="0.25">
      <c r="B123" t="s">
        <v>378</v>
      </c>
    </row>
    <row r="124" spans="1:3" x14ac:dyDescent="0.25">
      <c r="C124" t="s">
        <v>379</v>
      </c>
    </row>
    <row r="125" spans="1:3" x14ac:dyDescent="0.25">
      <c r="C125" t="s">
        <v>380</v>
      </c>
    </row>
    <row r="126" spans="1:3" x14ac:dyDescent="0.25">
      <c r="C126" t="s">
        <v>381</v>
      </c>
    </row>
    <row r="127" spans="1:3" x14ac:dyDescent="0.25">
      <c r="C127" t="s">
        <v>382</v>
      </c>
    </row>
    <row r="128" spans="1:3" x14ac:dyDescent="0.25">
      <c r="B128" t="s">
        <v>383</v>
      </c>
    </row>
    <row r="129" spans="1:3" x14ac:dyDescent="0.25">
      <c r="C129" t="s">
        <v>384</v>
      </c>
    </row>
    <row r="130" spans="1:3" x14ac:dyDescent="0.25">
      <c r="C130" t="s">
        <v>385</v>
      </c>
    </row>
    <row r="131" spans="1:3" x14ac:dyDescent="0.25">
      <c r="B131" t="s">
        <v>386</v>
      </c>
    </row>
    <row r="132" spans="1:3" x14ac:dyDescent="0.25">
      <c r="C132" t="s">
        <v>387</v>
      </c>
    </row>
    <row r="133" spans="1:3" x14ac:dyDescent="0.25">
      <c r="B133" t="s">
        <v>388</v>
      </c>
    </row>
    <row r="134" spans="1:3" x14ac:dyDescent="0.25">
      <c r="C134" t="s">
        <v>309</v>
      </c>
    </row>
    <row r="135" spans="1:3" x14ac:dyDescent="0.25">
      <c r="C135" t="s">
        <v>317</v>
      </c>
    </row>
    <row r="136" spans="1:3" x14ac:dyDescent="0.25">
      <c r="C136" t="s">
        <v>311</v>
      </c>
    </row>
    <row r="137" spans="1:3" x14ac:dyDescent="0.25">
      <c r="C137" t="s">
        <v>312</v>
      </c>
    </row>
    <row r="138" spans="1:3" x14ac:dyDescent="0.25">
      <c r="A138" t="s">
        <v>398</v>
      </c>
    </row>
    <row r="139" spans="1:3" x14ac:dyDescent="0.25">
      <c r="B139" t="s">
        <v>399</v>
      </c>
    </row>
    <row r="140" spans="1:3" x14ac:dyDescent="0.25">
      <c r="C140" t="s">
        <v>400</v>
      </c>
    </row>
    <row r="141" spans="1:3" x14ac:dyDescent="0.25">
      <c r="C141" t="s">
        <v>401</v>
      </c>
    </row>
    <row r="142" spans="1:3" x14ac:dyDescent="0.25">
      <c r="C142" t="s">
        <v>402</v>
      </c>
    </row>
    <row r="143" spans="1:3" x14ac:dyDescent="0.25">
      <c r="C143" t="s">
        <v>403</v>
      </c>
    </row>
    <row r="144" spans="1:3" x14ac:dyDescent="0.25">
      <c r="C144" t="s">
        <v>404</v>
      </c>
    </row>
    <row r="145" spans="1:3" x14ac:dyDescent="0.25">
      <c r="B145" t="s">
        <v>405</v>
      </c>
    </row>
    <row r="146" spans="1:3" x14ac:dyDescent="0.25">
      <c r="C146" t="s">
        <v>406</v>
      </c>
    </row>
    <row r="147" spans="1:3" x14ac:dyDescent="0.25">
      <c r="B147" t="s">
        <v>407</v>
      </c>
    </row>
    <row r="148" spans="1:3" x14ac:dyDescent="0.25">
      <c r="C148" t="s">
        <v>408</v>
      </c>
    </row>
    <row r="149" spans="1:3" x14ac:dyDescent="0.25">
      <c r="C149" t="s">
        <v>409</v>
      </c>
    </row>
    <row r="150" spans="1:3" x14ac:dyDescent="0.25">
      <c r="B150" t="s">
        <v>410</v>
      </c>
    </row>
    <row r="151" spans="1:3" x14ac:dyDescent="0.25">
      <c r="C151" t="s">
        <v>309</v>
      </c>
    </row>
    <row r="152" spans="1:3" x14ac:dyDescent="0.25">
      <c r="C152" t="s">
        <v>317</v>
      </c>
    </row>
    <row r="153" spans="1:3" x14ac:dyDescent="0.25">
      <c r="C153" t="s">
        <v>311</v>
      </c>
    </row>
    <row r="154" spans="1:3" x14ac:dyDescent="0.25">
      <c r="C154" t="s">
        <v>312</v>
      </c>
    </row>
    <row r="155" spans="1:3" x14ac:dyDescent="0.25">
      <c r="C155" t="s">
        <v>365</v>
      </c>
    </row>
    <row r="156" spans="1:3" x14ac:dyDescent="0.25">
      <c r="C156" t="s">
        <v>366</v>
      </c>
    </row>
    <row r="157" spans="1:3" x14ac:dyDescent="0.25">
      <c r="C157" t="s">
        <v>367</v>
      </c>
    </row>
    <row r="158" spans="1:3" x14ac:dyDescent="0.25">
      <c r="A158" t="s">
        <v>411</v>
      </c>
    </row>
    <row r="159" spans="1:3" x14ac:dyDescent="0.25">
      <c r="B159" t="s">
        <v>412</v>
      </c>
    </row>
    <row r="160" spans="1:3" x14ac:dyDescent="0.25">
      <c r="C160" t="s">
        <v>413</v>
      </c>
    </row>
    <row r="161" spans="2:3" x14ac:dyDescent="0.25">
      <c r="C161" t="s">
        <v>414</v>
      </c>
    </row>
    <row r="162" spans="2:3" x14ac:dyDescent="0.25">
      <c r="C162" t="s">
        <v>415</v>
      </c>
    </row>
    <row r="163" spans="2:3" x14ac:dyDescent="0.25">
      <c r="C163" t="s">
        <v>416</v>
      </c>
    </row>
    <row r="164" spans="2:3" x14ac:dyDescent="0.25">
      <c r="C164" t="s">
        <v>417</v>
      </c>
    </row>
    <row r="165" spans="2:3" x14ac:dyDescent="0.25">
      <c r="C165" t="s">
        <v>418</v>
      </c>
    </row>
    <row r="166" spans="2:3" x14ac:dyDescent="0.25">
      <c r="C166" t="s">
        <v>419</v>
      </c>
    </row>
    <row r="167" spans="2:3" x14ac:dyDescent="0.25">
      <c r="C167" t="s">
        <v>420</v>
      </c>
    </row>
    <row r="168" spans="2:3" x14ac:dyDescent="0.25">
      <c r="B168" t="s">
        <v>421</v>
      </c>
    </row>
    <row r="169" spans="2:3" x14ac:dyDescent="0.25">
      <c r="C169" t="s">
        <v>422</v>
      </c>
    </row>
    <row r="170" spans="2:3" x14ac:dyDescent="0.25">
      <c r="B170" t="s">
        <v>423</v>
      </c>
    </row>
    <row r="171" spans="2:3" x14ac:dyDescent="0.25">
      <c r="C171" t="s">
        <v>424</v>
      </c>
    </row>
    <row r="172" spans="2:3" x14ac:dyDescent="0.25">
      <c r="B172" t="s">
        <v>425</v>
      </c>
    </row>
    <row r="173" spans="2:3" x14ac:dyDescent="0.25">
      <c r="C173" t="s">
        <v>309</v>
      </c>
    </row>
    <row r="174" spans="2:3" x14ac:dyDescent="0.25">
      <c r="C174" t="s">
        <v>317</v>
      </c>
    </row>
    <row r="175" spans="2:3" x14ac:dyDescent="0.25">
      <c r="C175" t="s">
        <v>311</v>
      </c>
    </row>
    <row r="176" spans="2:3" x14ac:dyDescent="0.25">
      <c r="C176" t="s">
        <v>312</v>
      </c>
    </row>
    <row r="177" spans="1:3" x14ac:dyDescent="0.25">
      <c r="A177" t="s">
        <v>426</v>
      </c>
    </row>
    <row r="178" spans="1:3" x14ac:dyDescent="0.25">
      <c r="B178" t="s">
        <v>427</v>
      </c>
    </row>
    <row r="179" spans="1:3" x14ac:dyDescent="0.25">
      <c r="C179" t="s">
        <v>428</v>
      </c>
    </row>
    <row r="180" spans="1:3" x14ac:dyDescent="0.25">
      <c r="C180" t="s">
        <v>429</v>
      </c>
    </row>
    <row r="181" spans="1:3" x14ac:dyDescent="0.25">
      <c r="C181" t="s">
        <v>430</v>
      </c>
    </row>
    <row r="182" spans="1:3" x14ac:dyDescent="0.25">
      <c r="C182" t="s">
        <v>431</v>
      </c>
    </row>
    <row r="183" spans="1:3" x14ac:dyDescent="0.25">
      <c r="C183" t="s">
        <v>432</v>
      </c>
    </row>
    <row r="184" spans="1:3" x14ac:dyDescent="0.25">
      <c r="C184" t="s">
        <v>433</v>
      </c>
    </row>
    <row r="185" spans="1:3" x14ac:dyDescent="0.25">
      <c r="C185" t="s">
        <v>434</v>
      </c>
    </row>
    <row r="186" spans="1:3" x14ac:dyDescent="0.25">
      <c r="C186" t="s">
        <v>435</v>
      </c>
    </row>
    <row r="187" spans="1:3" x14ac:dyDescent="0.25">
      <c r="C187" t="s">
        <v>436</v>
      </c>
    </row>
    <row r="188" spans="1:3" x14ac:dyDescent="0.25">
      <c r="C188" t="s">
        <v>437</v>
      </c>
    </row>
    <row r="189" spans="1:3" x14ac:dyDescent="0.25">
      <c r="C189" t="s">
        <v>438</v>
      </c>
    </row>
    <row r="190" spans="1:3" x14ac:dyDescent="0.25">
      <c r="B190" t="s">
        <v>439</v>
      </c>
    </row>
    <row r="191" spans="1:3" x14ac:dyDescent="0.25">
      <c r="C191" t="s">
        <v>440</v>
      </c>
    </row>
    <row r="192" spans="1:3" x14ac:dyDescent="0.25">
      <c r="C192" t="s">
        <v>441</v>
      </c>
    </row>
    <row r="193" spans="1:3" x14ac:dyDescent="0.25">
      <c r="C193" t="s">
        <v>442</v>
      </c>
    </row>
    <row r="194" spans="1:3" x14ac:dyDescent="0.25">
      <c r="C194" t="s">
        <v>443</v>
      </c>
    </row>
    <row r="195" spans="1:3" x14ac:dyDescent="0.25">
      <c r="B195" t="s">
        <v>444</v>
      </c>
    </row>
    <row r="196" spans="1:3" x14ac:dyDescent="0.25">
      <c r="C196" t="s">
        <v>445</v>
      </c>
    </row>
    <row r="197" spans="1:3" x14ac:dyDescent="0.25">
      <c r="C197" t="s">
        <v>446</v>
      </c>
    </row>
    <row r="198" spans="1:3" x14ac:dyDescent="0.25">
      <c r="C198" t="s">
        <v>447</v>
      </c>
    </row>
    <row r="199" spans="1:3" x14ac:dyDescent="0.25">
      <c r="C199" t="s">
        <v>448</v>
      </c>
    </row>
    <row r="200" spans="1:3" x14ac:dyDescent="0.25">
      <c r="C200" t="s">
        <v>449</v>
      </c>
    </row>
    <row r="201" spans="1:3" x14ac:dyDescent="0.25">
      <c r="B201" t="s">
        <v>450</v>
      </c>
    </row>
    <row r="202" spans="1:3" x14ac:dyDescent="0.25">
      <c r="C202" t="s">
        <v>309</v>
      </c>
    </row>
    <row r="203" spans="1:3" x14ac:dyDescent="0.25">
      <c r="C203" t="s">
        <v>317</v>
      </c>
    </row>
    <row r="204" spans="1:3" x14ac:dyDescent="0.25">
      <c r="C204" t="s">
        <v>311</v>
      </c>
    </row>
    <row r="205" spans="1:3" x14ac:dyDescent="0.25">
      <c r="C205" t="s">
        <v>312</v>
      </c>
    </row>
    <row r="206" spans="1:3" x14ac:dyDescent="0.25">
      <c r="A206" t="s">
        <v>451</v>
      </c>
    </row>
    <row r="207" spans="1:3" x14ac:dyDescent="0.25">
      <c r="B207" t="s">
        <v>452</v>
      </c>
    </row>
    <row r="208" spans="1:3" x14ac:dyDescent="0.25">
      <c r="C208" t="s">
        <v>453</v>
      </c>
    </row>
    <row r="209" spans="3:3" x14ac:dyDescent="0.25">
      <c r="C209" t="s">
        <v>454</v>
      </c>
    </row>
    <row r="210" spans="3:3" x14ac:dyDescent="0.25">
      <c r="C210" t="s">
        <v>455</v>
      </c>
    </row>
    <row r="211" spans="3:3" x14ac:dyDescent="0.25">
      <c r="C211" t="s">
        <v>456</v>
      </c>
    </row>
    <row r="212" spans="3:3" x14ac:dyDescent="0.25">
      <c r="C212" t="s">
        <v>457</v>
      </c>
    </row>
    <row r="213" spans="3:3" x14ac:dyDescent="0.25">
      <c r="C213" t="s">
        <v>458</v>
      </c>
    </row>
    <row r="214" spans="3:3" x14ac:dyDescent="0.25">
      <c r="C214" t="s">
        <v>459</v>
      </c>
    </row>
    <row r="215" spans="3:3" x14ac:dyDescent="0.25">
      <c r="C215" t="s">
        <v>460</v>
      </c>
    </row>
    <row r="216" spans="3:3" x14ac:dyDescent="0.25">
      <c r="C216" t="s">
        <v>461</v>
      </c>
    </row>
    <row r="217" spans="3:3" x14ac:dyDescent="0.25">
      <c r="C217" t="s">
        <v>462</v>
      </c>
    </row>
    <row r="218" spans="3:3" x14ac:dyDescent="0.25">
      <c r="C218" t="s">
        <v>463</v>
      </c>
    </row>
    <row r="219" spans="3:3" x14ac:dyDescent="0.25">
      <c r="C219" t="s">
        <v>464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C8B4-3EE5-497C-8D6E-F0A46D24C3E5}">
  <dimension ref="A1:A9"/>
  <sheetViews>
    <sheetView workbookViewId="0">
      <selection activeCell="D10" sqref="D10"/>
    </sheetView>
  </sheetViews>
  <sheetFormatPr defaultRowHeight="15" x14ac:dyDescent="0.25"/>
  <sheetData>
    <row r="1" spans="1:1" x14ac:dyDescent="0.25">
      <c r="A1" t="s">
        <v>538</v>
      </c>
    </row>
    <row r="2" spans="1:1" x14ac:dyDescent="0.25">
      <c r="A2" t="s">
        <v>532</v>
      </c>
    </row>
    <row r="3" spans="1:1" x14ac:dyDescent="0.25">
      <c r="A3" t="s">
        <v>533</v>
      </c>
    </row>
    <row r="4" spans="1:1" x14ac:dyDescent="0.25">
      <c r="A4" t="s">
        <v>534</v>
      </c>
    </row>
    <row r="5" spans="1:1" x14ac:dyDescent="0.25">
      <c r="A5" t="s">
        <v>535</v>
      </c>
    </row>
    <row r="6" spans="1:1" x14ac:dyDescent="0.25">
      <c r="A6" t="s">
        <v>536</v>
      </c>
    </row>
    <row r="7" spans="1:1" x14ac:dyDescent="0.25">
      <c r="A7" t="s">
        <v>537</v>
      </c>
    </row>
    <row r="8" spans="1:1" x14ac:dyDescent="0.25">
      <c r="A8" t="s">
        <v>390</v>
      </c>
    </row>
    <row r="9" spans="1:1" x14ac:dyDescent="0.25">
      <c r="A9" t="s">
        <v>266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4B82-6752-4BE0-8FF1-4DBB1DC419A3}">
  <dimension ref="A1:B5"/>
  <sheetViews>
    <sheetView workbookViewId="0">
      <selection activeCell="M18" sqref="M18"/>
    </sheetView>
  </sheetViews>
  <sheetFormatPr defaultRowHeight="15" x14ac:dyDescent="0.25"/>
  <cols>
    <col min="1" max="1" width="24.42578125" bestFit="1" customWidth="1"/>
  </cols>
  <sheetData>
    <row r="1" spans="1:2" x14ac:dyDescent="0.25">
      <c r="A1" t="s">
        <v>389</v>
      </c>
      <c r="B1" t="s">
        <v>390</v>
      </c>
    </row>
    <row r="2" spans="1:2" x14ac:dyDescent="0.25">
      <c r="A2" t="s">
        <v>391</v>
      </c>
      <c r="B2" t="s">
        <v>395</v>
      </c>
    </row>
    <row r="3" spans="1:2" x14ac:dyDescent="0.25">
      <c r="A3" t="s">
        <v>392</v>
      </c>
      <c r="B3" t="s">
        <v>396</v>
      </c>
    </row>
    <row r="4" spans="1:2" x14ac:dyDescent="0.25">
      <c r="A4" t="s">
        <v>393</v>
      </c>
      <c r="B4" t="s">
        <v>397</v>
      </c>
    </row>
    <row r="5" spans="1:2" x14ac:dyDescent="0.25">
      <c r="A5" t="s">
        <v>394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1940D-111B-4221-8D4F-BCD219B42F44}">
  <dimension ref="A1:AP71"/>
  <sheetViews>
    <sheetView tabSelected="1" zoomScale="70" zoomScaleNormal="70" workbookViewId="0">
      <selection activeCell="A13" sqref="A13"/>
    </sheetView>
  </sheetViews>
  <sheetFormatPr defaultRowHeight="15" x14ac:dyDescent="0.25"/>
  <cols>
    <col min="1" max="1" width="53.5703125" bestFit="1" customWidth="1"/>
    <col min="2" max="2" width="9.140625" customWidth="1"/>
    <col min="3" max="3" width="43.85546875" style="17" bestFit="1" customWidth="1"/>
    <col min="4" max="4" width="20.7109375" customWidth="1"/>
    <col min="5" max="5" width="9.140625" customWidth="1"/>
    <col min="8" max="8" width="14.42578125" bestFit="1" customWidth="1"/>
    <col min="9" max="9" width="11.28515625" style="17" customWidth="1"/>
    <col min="10" max="10" width="67.42578125" bestFit="1" customWidth="1"/>
    <col min="11" max="12" width="10.85546875" customWidth="1"/>
    <col min="15" max="15" width="61.28515625" bestFit="1" customWidth="1"/>
    <col min="16" max="16" width="13.28515625" customWidth="1"/>
    <col min="25" max="25" width="44.42578125" bestFit="1" customWidth="1"/>
    <col min="28" max="28" width="61.42578125" bestFit="1" customWidth="1"/>
    <col min="29" max="31" width="15.85546875" customWidth="1"/>
    <col min="35" max="35" width="86" bestFit="1" customWidth="1"/>
    <col min="36" max="36" width="15.85546875" customWidth="1"/>
    <col min="40" max="40" width="33.140625" bestFit="1" customWidth="1"/>
    <col min="42" max="42" width="17.7109375" bestFit="1" customWidth="1"/>
  </cols>
  <sheetData>
    <row r="1" spans="1:42" x14ac:dyDescent="0.25">
      <c r="A1" s="25" t="s">
        <v>690</v>
      </c>
      <c r="D1" s="10"/>
    </row>
    <row r="2" spans="1:42" ht="30" x14ac:dyDescent="0.25">
      <c r="C2" s="30" t="s">
        <v>494</v>
      </c>
      <c r="D2" s="21" t="s">
        <v>540</v>
      </c>
    </row>
    <row r="3" spans="1:42" x14ac:dyDescent="0.25">
      <c r="C3" s="17" t="s">
        <v>547</v>
      </c>
      <c r="D3" s="12">
        <v>0.3</v>
      </c>
    </row>
    <row r="4" spans="1:42" x14ac:dyDescent="0.25">
      <c r="C4" s="17" t="s">
        <v>541</v>
      </c>
      <c r="D4" s="12">
        <v>0.25</v>
      </c>
    </row>
    <row r="5" spans="1:42" x14ac:dyDescent="0.25">
      <c r="C5" s="17" t="s">
        <v>546</v>
      </c>
      <c r="D5" s="12">
        <v>0.15</v>
      </c>
    </row>
    <row r="6" spans="1:42" x14ac:dyDescent="0.25">
      <c r="C6" s="17" t="s">
        <v>542</v>
      </c>
      <c r="D6" s="12">
        <v>0.15</v>
      </c>
    </row>
    <row r="7" spans="1:42" x14ac:dyDescent="0.25">
      <c r="C7" s="17" t="s">
        <v>539</v>
      </c>
      <c r="D7" s="12">
        <v>0.15</v>
      </c>
    </row>
    <row r="8" spans="1:42" x14ac:dyDescent="0.25">
      <c r="C8" s="17" t="s">
        <v>545</v>
      </c>
      <c r="D8" s="12">
        <f>SUM(D3:D7)</f>
        <v>1</v>
      </c>
    </row>
    <row r="9" spans="1:42" x14ac:dyDescent="0.25">
      <c r="D9" s="12"/>
    </row>
    <row r="10" spans="1:42" x14ac:dyDescent="0.25">
      <c r="A10" t="s">
        <v>549</v>
      </c>
      <c r="C10" s="17" t="s">
        <v>550</v>
      </c>
      <c r="H10" t="s">
        <v>563</v>
      </c>
      <c r="J10" s="17" t="s">
        <v>564</v>
      </c>
      <c r="O10" t="s">
        <v>686</v>
      </c>
      <c r="Y10" t="s">
        <v>627</v>
      </c>
      <c r="AB10" t="s">
        <v>674</v>
      </c>
      <c r="AI10" t="s">
        <v>684</v>
      </c>
      <c r="AN10" t="s">
        <v>676</v>
      </c>
      <c r="AP10" t="s">
        <v>685</v>
      </c>
    </row>
    <row r="11" spans="1:42" x14ac:dyDescent="0.25">
      <c r="A11" t="s">
        <v>577</v>
      </c>
      <c r="C11" s="25" t="s">
        <v>584</v>
      </c>
      <c r="H11" s="10" t="s">
        <v>681</v>
      </c>
      <c r="J11" t="s">
        <v>562</v>
      </c>
      <c r="O11" t="s">
        <v>553</v>
      </c>
      <c r="Y11" t="s">
        <v>675</v>
      </c>
      <c r="AB11" t="s">
        <v>601</v>
      </c>
      <c r="AI11" t="s">
        <v>628</v>
      </c>
      <c r="AN11" t="s">
        <v>677</v>
      </c>
      <c r="AP11" t="s">
        <v>682</v>
      </c>
    </row>
    <row r="12" spans="1:42" x14ac:dyDescent="0.25">
      <c r="A12" s="10" t="s">
        <v>696</v>
      </c>
      <c r="C12" s="18" t="s">
        <v>582</v>
      </c>
      <c r="D12" s="5" t="s">
        <v>583</v>
      </c>
      <c r="E12" s="5" t="s">
        <v>493</v>
      </c>
      <c r="F12" s="5" t="s">
        <v>495</v>
      </c>
      <c r="G12" s="23"/>
      <c r="J12" s="23" t="s">
        <v>497</v>
      </c>
      <c r="K12" s="23" t="s">
        <v>554</v>
      </c>
      <c r="L12" s="23" t="s">
        <v>561</v>
      </c>
      <c r="M12" s="23" t="s">
        <v>495</v>
      </c>
      <c r="O12" s="28" t="s">
        <v>497</v>
      </c>
      <c r="P12" s="28" t="s">
        <v>554</v>
      </c>
      <c r="Q12" s="28" t="s">
        <v>493</v>
      </c>
      <c r="R12" s="28" t="s">
        <v>495</v>
      </c>
      <c r="S12" s="28"/>
      <c r="Y12" s="7"/>
      <c r="AB12" s="33" t="s">
        <v>602</v>
      </c>
      <c r="AM12" s="23"/>
    </row>
    <row r="13" spans="1:42" x14ac:dyDescent="0.25">
      <c r="C13" s="19" t="s">
        <v>491</v>
      </c>
      <c r="D13" s="6"/>
      <c r="E13" s="5">
        <v>1</v>
      </c>
      <c r="F13" s="9">
        <f>E13/$E$21*$D$3</f>
        <v>2.7272727272727271E-2</v>
      </c>
      <c r="G13" s="24"/>
      <c r="J13" s="31" t="s">
        <v>566</v>
      </c>
      <c r="K13" s="23" t="s">
        <v>504</v>
      </c>
      <c r="L13" s="23">
        <v>2</v>
      </c>
      <c r="M13" s="24">
        <f>L13/$L$40*$D$4</f>
        <v>7.1428571428571425E-2</v>
      </c>
      <c r="O13" s="33" t="s">
        <v>266</v>
      </c>
      <c r="P13" s="7"/>
      <c r="Q13" s="28">
        <v>3</v>
      </c>
      <c r="R13" s="29">
        <f>(Q13/$Q$70)*$D$5</f>
        <v>2.8124999999999997E-2</v>
      </c>
      <c r="S13" s="29"/>
      <c r="Y13" s="7"/>
      <c r="AB13" t="s">
        <v>610</v>
      </c>
      <c r="AC13" t="s">
        <v>603</v>
      </c>
      <c r="AI13" s="10" t="s">
        <v>506</v>
      </c>
      <c r="AJ13" t="s">
        <v>687</v>
      </c>
      <c r="AM13" s="24"/>
      <c r="AN13" s="10" t="s">
        <v>678</v>
      </c>
      <c r="AP13" s="34" t="s">
        <v>683</v>
      </c>
    </row>
    <row r="14" spans="1:42" x14ac:dyDescent="0.25">
      <c r="A14" s="10" t="s">
        <v>578</v>
      </c>
      <c r="C14" s="19" t="s">
        <v>492</v>
      </c>
      <c r="D14" s="6"/>
      <c r="E14" s="5">
        <v>1</v>
      </c>
      <c r="F14" s="9">
        <f t="shared" ref="F14:F20" si="0">E14/$E$21*$D$3</f>
        <v>2.7272727272727271E-2</v>
      </c>
      <c r="G14" s="24"/>
      <c r="J14" s="27"/>
      <c r="K14" s="23" t="s">
        <v>555</v>
      </c>
      <c r="L14" s="23">
        <v>0</v>
      </c>
      <c r="M14" s="24">
        <f t="shared" ref="M14:M15" si="1">L14/$L$40*$D$4</f>
        <v>0</v>
      </c>
      <c r="O14" s="10" t="s">
        <v>571</v>
      </c>
      <c r="P14" t="s">
        <v>267</v>
      </c>
      <c r="R14" s="29"/>
      <c r="S14" s="29"/>
      <c r="Y14" s="7"/>
      <c r="AB14" t="s">
        <v>611</v>
      </c>
      <c r="AC14" t="s">
        <v>604</v>
      </c>
      <c r="AM14" s="24"/>
      <c r="AP14" s="20"/>
    </row>
    <row r="15" spans="1:42" x14ac:dyDescent="0.25">
      <c r="C15" s="19" t="s">
        <v>496</v>
      </c>
      <c r="D15" s="6"/>
      <c r="E15" s="5">
        <v>1</v>
      </c>
      <c r="F15" s="9">
        <f t="shared" si="0"/>
        <v>2.7272727272727271E-2</v>
      </c>
      <c r="G15" s="24"/>
      <c r="J15" s="27"/>
      <c r="K15" s="23" t="s">
        <v>556</v>
      </c>
      <c r="L15" s="23">
        <v>0</v>
      </c>
      <c r="M15" s="24">
        <f t="shared" si="1"/>
        <v>0</v>
      </c>
      <c r="Y15" s="7"/>
      <c r="AB15" t="s">
        <v>612</v>
      </c>
      <c r="AC15" t="s">
        <v>605</v>
      </c>
      <c r="AI15" s="13" t="s">
        <v>625</v>
      </c>
      <c r="AM15" s="24"/>
      <c r="AN15" s="10" t="s">
        <v>679</v>
      </c>
    </row>
    <row r="16" spans="1:42" x14ac:dyDescent="0.25">
      <c r="A16" s="10" t="s">
        <v>581</v>
      </c>
      <c r="C16" s="19" t="s">
        <v>498</v>
      </c>
      <c r="D16" s="6"/>
      <c r="E16" s="5">
        <v>1</v>
      </c>
      <c r="F16" s="9">
        <f t="shared" si="0"/>
        <v>2.7272727272727271E-2</v>
      </c>
      <c r="G16" s="24"/>
      <c r="J16" s="27"/>
      <c r="K16" s="23"/>
      <c r="L16" s="23"/>
      <c r="M16" s="24"/>
      <c r="O16" s="10" t="s">
        <v>572</v>
      </c>
      <c r="P16" t="s">
        <v>268</v>
      </c>
      <c r="R16" s="29"/>
      <c r="S16" s="29"/>
      <c r="AI16" s="13" t="s">
        <v>544</v>
      </c>
      <c r="AJ16" t="s">
        <v>630</v>
      </c>
      <c r="AK16" t="s">
        <v>561</v>
      </c>
      <c r="AL16" t="s">
        <v>495</v>
      </c>
      <c r="AM16" s="24"/>
    </row>
    <row r="17" spans="1:40" x14ac:dyDescent="0.25">
      <c r="C17" s="19" t="s">
        <v>502</v>
      </c>
      <c r="D17" s="6"/>
      <c r="E17" s="5">
        <v>1</v>
      </c>
      <c r="F17" s="9">
        <f t="shared" si="0"/>
        <v>2.7272727272727271E-2</v>
      </c>
      <c r="G17" s="24"/>
      <c r="J17" s="23"/>
      <c r="K17" s="23"/>
      <c r="L17" s="23"/>
      <c r="M17" s="23"/>
      <c r="Y17" s="7"/>
      <c r="AB17" s="10" t="s">
        <v>506</v>
      </c>
      <c r="AC17" t="s">
        <v>616</v>
      </c>
      <c r="AI17" s="32" t="s">
        <v>637</v>
      </c>
      <c r="AJ17" t="s">
        <v>629</v>
      </c>
      <c r="AK17" s="28">
        <v>1</v>
      </c>
      <c r="AL17" s="29">
        <f>(AK17/$AK$22*$D$7)</f>
        <v>0.03</v>
      </c>
      <c r="AM17" s="24"/>
      <c r="AN17" s="10" t="s">
        <v>680</v>
      </c>
    </row>
    <row r="18" spans="1:40" x14ac:dyDescent="0.25">
      <c r="A18" s="10" t="s">
        <v>579</v>
      </c>
      <c r="C18" s="19" t="s">
        <v>501</v>
      </c>
      <c r="D18" s="6"/>
      <c r="E18" s="5">
        <v>2</v>
      </c>
      <c r="F18" s="9">
        <f t="shared" si="0"/>
        <v>5.4545454545454543E-2</v>
      </c>
      <c r="G18" s="24"/>
      <c r="J18" s="31" t="s">
        <v>567</v>
      </c>
      <c r="K18" s="23" t="s">
        <v>504</v>
      </c>
      <c r="L18" s="23">
        <v>1</v>
      </c>
      <c r="M18" s="24">
        <f>L18/$L$40*$D$4</f>
        <v>3.5714285714285712E-2</v>
      </c>
      <c r="O18" s="10" t="s">
        <v>573</v>
      </c>
      <c r="P18" t="s">
        <v>270</v>
      </c>
      <c r="Y18" s="7"/>
      <c r="AC18" t="s">
        <v>633</v>
      </c>
      <c r="AI18" s="32" t="s">
        <v>631</v>
      </c>
      <c r="AJ18" t="s">
        <v>629</v>
      </c>
      <c r="AK18" s="28">
        <v>1</v>
      </c>
      <c r="AL18" s="29">
        <f t="shared" ref="AL18:AL21" si="2">(AK18/$AK$22*$D$7)</f>
        <v>0.03</v>
      </c>
      <c r="AM18" s="29"/>
    </row>
    <row r="19" spans="1:40" x14ac:dyDescent="0.25">
      <c r="C19" s="19" t="s">
        <v>499</v>
      </c>
      <c r="D19" s="6"/>
      <c r="E19" s="5">
        <v>2</v>
      </c>
      <c r="F19" s="9">
        <f t="shared" si="0"/>
        <v>5.4545454545454543E-2</v>
      </c>
      <c r="G19" s="24"/>
      <c r="J19" s="27"/>
      <c r="K19" s="23" t="s">
        <v>555</v>
      </c>
      <c r="L19" s="23">
        <v>0</v>
      </c>
      <c r="M19" s="24">
        <f t="shared" ref="M19:M20" si="3">L19/$L$40*$D$4</f>
        <v>0</v>
      </c>
      <c r="Y19" s="7"/>
      <c r="AB19" s="13"/>
      <c r="AC19" s="13" t="s">
        <v>617</v>
      </c>
      <c r="AD19" s="13"/>
      <c r="AE19" s="13"/>
      <c r="AF19" s="13"/>
      <c r="AG19" s="13"/>
      <c r="AI19" s="32" t="s">
        <v>632</v>
      </c>
      <c r="AJ19" t="s">
        <v>629</v>
      </c>
      <c r="AK19" s="28">
        <v>1</v>
      </c>
      <c r="AL19" s="29">
        <f t="shared" si="2"/>
        <v>0.03</v>
      </c>
    </row>
    <row r="20" spans="1:40" x14ac:dyDescent="0.25">
      <c r="A20" s="10" t="s">
        <v>580</v>
      </c>
      <c r="C20" s="19" t="s">
        <v>500</v>
      </c>
      <c r="D20" s="6"/>
      <c r="E20" s="5">
        <v>2</v>
      </c>
      <c r="F20" s="9">
        <f t="shared" si="0"/>
        <v>5.4545454545454543E-2</v>
      </c>
      <c r="G20" s="24"/>
      <c r="J20" s="27"/>
      <c r="K20" s="23" t="s">
        <v>556</v>
      </c>
      <c r="L20" s="23">
        <v>0</v>
      </c>
      <c r="M20" s="24">
        <f t="shared" si="3"/>
        <v>0</v>
      </c>
      <c r="Y20" s="7"/>
      <c r="AC20" s="13" t="s">
        <v>618</v>
      </c>
      <c r="AI20" s="32" t="s">
        <v>635</v>
      </c>
      <c r="AJ20" t="s">
        <v>629</v>
      </c>
      <c r="AK20" s="28">
        <v>1</v>
      </c>
      <c r="AL20" s="29">
        <f t="shared" si="2"/>
        <v>0.03</v>
      </c>
      <c r="AM20" s="13"/>
    </row>
    <row r="21" spans="1:40" x14ac:dyDescent="0.25">
      <c r="C21" s="19" t="s">
        <v>503</v>
      </c>
      <c r="D21" s="6"/>
      <c r="E21" s="5">
        <f>SUM(E13:E20)</f>
        <v>11</v>
      </c>
      <c r="F21" s="15">
        <f>SUM(F13:F20)</f>
        <v>0.3</v>
      </c>
      <c r="G21" s="29"/>
      <c r="AC21" s="13" t="s">
        <v>619</v>
      </c>
      <c r="AI21" s="32" t="s">
        <v>636</v>
      </c>
      <c r="AJ21" t="s">
        <v>629</v>
      </c>
      <c r="AK21" s="28">
        <v>1</v>
      </c>
      <c r="AL21" s="29">
        <f t="shared" si="2"/>
        <v>0.03</v>
      </c>
      <c r="AM21" s="13"/>
    </row>
    <row r="22" spans="1:40" x14ac:dyDescent="0.25">
      <c r="A22" s="26" t="s">
        <v>599</v>
      </c>
      <c r="C22" s="26" t="s">
        <v>552</v>
      </c>
      <c r="J22" s="23"/>
      <c r="K22" s="23"/>
      <c r="L22" s="23"/>
      <c r="M22" s="23"/>
      <c r="Y22" s="7"/>
      <c r="AC22" s="13" t="s">
        <v>620</v>
      </c>
      <c r="AI22" s="28"/>
      <c r="AJ22" s="28"/>
      <c r="AK22" s="28">
        <f>SUM(AK17:AK21)</f>
        <v>5</v>
      </c>
      <c r="AL22" s="29">
        <f>SUM(AL17:AL21)</f>
        <v>0.15</v>
      </c>
      <c r="AM22" s="13"/>
    </row>
    <row r="23" spans="1:40" s="13" customFormat="1" x14ac:dyDescent="0.25">
      <c r="D23"/>
      <c r="E23"/>
      <c r="F23"/>
      <c r="G23"/>
      <c r="I23" s="17"/>
      <c r="J23" s="31" t="s">
        <v>568</v>
      </c>
      <c r="K23" s="23" t="s">
        <v>504</v>
      </c>
      <c r="L23" s="23">
        <v>1</v>
      </c>
      <c r="M23" s="24">
        <f>L23/$L$40*$D$4</f>
        <v>3.5714285714285712E-2</v>
      </c>
      <c r="O23" s="32" t="s">
        <v>574</v>
      </c>
      <c r="Q23" s="28">
        <v>3</v>
      </c>
      <c r="R23" s="29">
        <f>(Q23/$Q$70)*$D$5</f>
        <v>2.8124999999999997E-2</v>
      </c>
      <c r="S23" s="29"/>
      <c r="Y23" s="7"/>
      <c r="AC23" s="13" t="s">
        <v>621</v>
      </c>
    </row>
    <row r="24" spans="1:40" s="13" customFormat="1" x14ac:dyDescent="0.25">
      <c r="C24" s="16" t="s">
        <v>548</v>
      </c>
      <c r="D24"/>
      <c r="E24"/>
      <c r="F24"/>
      <c r="G24"/>
      <c r="I24" s="17"/>
      <c r="J24" s="27"/>
      <c r="K24" s="23" t="s">
        <v>555</v>
      </c>
      <c r="L24" s="23">
        <v>0</v>
      </c>
      <c r="M24" s="24">
        <f t="shared" ref="M24:M25" si="4">L24/$L$40*$D$4</f>
        <v>0</v>
      </c>
      <c r="O24" s="32" t="s">
        <v>575</v>
      </c>
      <c r="P24" t="s">
        <v>277</v>
      </c>
      <c r="Y24" s="7"/>
    </row>
    <row r="25" spans="1:40" s="13" customFormat="1" x14ac:dyDescent="0.25">
      <c r="C25" s="17"/>
      <c r="D25"/>
      <c r="E25"/>
      <c r="F25"/>
      <c r="G25"/>
      <c r="I25" s="17"/>
      <c r="J25" s="27"/>
      <c r="K25" s="23" t="s">
        <v>556</v>
      </c>
      <c r="L25" s="23">
        <v>0</v>
      </c>
      <c r="M25" s="24">
        <f t="shared" si="4"/>
        <v>0</v>
      </c>
      <c r="O25" s="7"/>
      <c r="P25"/>
      <c r="Q25" s="28"/>
      <c r="R25" s="29"/>
      <c r="S25" s="29"/>
      <c r="AB25" s="13" t="s">
        <v>625</v>
      </c>
      <c r="AI25" s="13" t="s">
        <v>634</v>
      </c>
      <c r="AJ25"/>
      <c r="AK25"/>
      <c r="AL25"/>
    </row>
    <row r="26" spans="1:40" s="13" customFormat="1" x14ac:dyDescent="0.25">
      <c r="C26" s="17"/>
      <c r="D26"/>
      <c r="E26"/>
      <c r="F26"/>
      <c r="G26"/>
      <c r="I26" s="17"/>
      <c r="O26" s="33" t="s">
        <v>576</v>
      </c>
      <c r="P26" s="7" t="s">
        <v>280</v>
      </c>
      <c r="Q26" s="28"/>
      <c r="R26" s="29"/>
      <c r="S26" s="29"/>
      <c r="AB26" s="28" t="s">
        <v>606</v>
      </c>
      <c r="AC26" s="28" t="s">
        <v>622</v>
      </c>
      <c r="AD26" s="28" t="s">
        <v>623</v>
      </c>
      <c r="AE26" s="28" t="s">
        <v>626</v>
      </c>
      <c r="AF26" s="28" t="s">
        <v>493</v>
      </c>
      <c r="AG26" s="28" t="s">
        <v>495</v>
      </c>
      <c r="AI26" s="13" t="s">
        <v>544</v>
      </c>
      <c r="AJ26" t="s">
        <v>630</v>
      </c>
      <c r="AK26" t="s">
        <v>561</v>
      </c>
      <c r="AL26" t="s">
        <v>495</v>
      </c>
    </row>
    <row r="27" spans="1:40" s="13" customFormat="1" x14ac:dyDescent="0.25">
      <c r="C27" s="17"/>
      <c r="D27"/>
      <c r="E27"/>
      <c r="F27"/>
      <c r="G27"/>
      <c r="I27" s="17"/>
      <c r="J27" s="23"/>
      <c r="K27" s="23"/>
      <c r="L27" s="23"/>
      <c r="M27" s="23"/>
      <c r="O27" s="7"/>
      <c r="P27" s="7" t="s">
        <v>281</v>
      </c>
      <c r="Q27" s="28"/>
      <c r="R27" s="29"/>
      <c r="S27" s="29"/>
      <c r="AB27" s="33" t="s">
        <v>607</v>
      </c>
      <c r="AC27" s="7" t="s">
        <v>613</v>
      </c>
      <c r="AD27" s="7">
        <v>20</v>
      </c>
      <c r="AE27" s="7" t="s">
        <v>624</v>
      </c>
      <c r="AF27" s="28">
        <v>2</v>
      </c>
      <c r="AG27" s="29">
        <f>(AF27/$AF$33)*$D$6</f>
        <v>4.9999999999999996E-2</v>
      </c>
      <c r="AI27" s="32" t="s">
        <v>638</v>
      </c>
      <c r="AJ27" t="s">
        <v>629</v>
      </c>
      <c r="AK27" s="28">
        <v>1</v>
      </c>
      <c r="AL27" s="29">
        <f>(AK27/$AK$22*$D$7)</f>
        <v>0.03</v>
      </c>
    </row>
    <row r="28" spans="1:40" s="13" customFormat="1" x14ac:dyDescent="0.25">
      <c r="C28" s="17"/>
      <c r="D28"/>
      <c r="E28"/>
      <c r="F28"/>
      <c r="G28"/>
      <c r="I28" s="17"/>
      <c r="J28" s="31" t="s">
        <v>565</v>
      </c>
      <c r="K28" s="23" t="s">
        <v>557</v>
      </c>
      <c r="L28" s="23">
        <v>1</v>
      </c>
      <c r="M28" s="24">
        <f>L28/$L$40*$D$4</f>
        <v>3.5714285714285712E-2</v>
      </c>
      <c r="O28" s="7"/>
      <c r="P28" s="13" t="s">
        <v>286</v>
      </c>
      <c r="Q28" s="28"/>
      <c r="R28" s="29"/>
      <c r="S28" s="29"/>
      <c r="AB28"/>
      <c r="AC28"/>
      <c r="AD28"/>
      <c r="AE28"/>
      <c r="AF28"/>
      <c r="AG28"/>
      <c r="AI28" s="32" t="s">
        <v>639</v>
      </c>
      <c r="AJ28" t="s">
        <v>629</v>
      </c>
      <c r="AK28" s="28">
        <v>1</v>
      </c>
      <c r="AL28" s="29">
        <f t="shared" ref="AL28:AL31" si="5">(AK28/$AK$22*$D$7)</f>
        <v>0.03</v>
      </c>
    </row>
    <row r="29" spans="1:40" s="13" customFormat="1" x14ac:dyDescent="0.25">
      <c r="C29" s="17"/>
      <c r="D29"/>
      <c r="E29"/>
      <c r="F29"/>
      <c r="G29"/>
      <c r="I29" s="17"/>
      <c r="J29" s="27"/>
      <c r="K29" s="23" t="s">
        <v>558</v>
      </c>
      <c r="L29" s="23">
        <v>0</v>
      </c>
      <c r="M29" s="24">
        <f t="shared" ref="M29" si="6">L29/$L$40*$D$4</f>
        <v>0</v>
      </c>
      <c r="O29" s="7"/>
      <c r="Q29" s="28"/>
      <c r="R29" s="29"/>
      <c r="S29" s="29"/>
      <c r="AB29" s="33" t="s">
        <v>608</v>
      </c>
      <c r="AC29" s="7" t="s">
        <v>614</v>
      </c>
      <c r="AD29" s="7">
        <v>1</v>
      </c>
      <c r="AE29" s="7" t="s">
        <v>624</v>
      </c>
      <c r="AF29" s="28">
        <v>2</v>
      </c>
      <c r="AG29" s="29">
        <f>(AF29/$AF$33)*$D$6</f>
        <v>4.9999999999999996E-2</v>
      </c>
      <c r="AI29" s="32" t="s">
        <v>632</v>
      </c>
      <c r="AJ29" t="s">
        <v>629</v>
      </c>
      <c r="AK29" s="28">
        <v>1</v>
      </c>
      <c r="AL29" s="29">
        <f t="shared" si="5"/>
        <v>0.03</v>
      </c>
    </row>
    <row r="30" spans="1:40" s="13" customFormat="1" x14ac:dyDescent="0.25">
      <c r="C30" s="17"/>
      <c r="D30"/>
      <c r="E30"/>
      <c r="F30"/>
      <c r="G30"/>
      <c r="I30" s="17"/>
      <c r="J30" s="27"/>
      <c r="K30" s="23"/>
      <c r="L30" s="23"/>
      <c r="M30" s="24"/>
      <c r="O30" s="33" t="s">
        <v>585</v>
      </c>
      <c r="P30" s="13" t="s">
        <v>369</v>
      </c>
      <c r="Q30" s="28"/>
      <c r="R30" s="29"/>
      <c r="S30" s="29"/>
      <c r="AI30" s="32" t="s">
        <v>635</v>
      </c>
      <c r="AJ30" t="s">
        <v>629</v>
      </c>
      <c r="AK30" s="28">
        <v>1</v>
      </c>
      <c r="AL30" s="29">
        <f t="shared" si="5"/>
        <v>0.03</v>
      </c>
    </row>
    <row r="31" spans="1:40" s="13" customFormat="1" x14ac:dyDescent="0.25">
      <c r="C31" s="17"/>
      <c r="D31"/>
      <c r="E31"/>
      <c r="F31"/>
      <c r="G31"/>
      <c r="I31" s="17"/>
      <c r="J31" s="23"/>
      <c r="K31" s="23"/>
      <c r="L31" s="23"/>
      <c r="M31" s="23"/>
      <c r="O31" s="7"/>
      <c r="P31" s="7" t="s">
        <v>374</v>
      </c>
      <c r="Q31" s="28"/>
      <c r="R31" s="29"/>
      <c r="S31" s="29"/>
      <c r="AB31" s="33" t="s">
        <v>609</v>
      </c>
      <c r="AC31" s="7" t="s">
        <v>615</v>
      </c>
      <c r="AD31" s="7">
        <v>30</v>
      </c>
      <c r="AE31" s="7" t="s">
        <v>624</v>
      </c>
      <c r="AF31" s="28">
        <v>2</v>
      </c>
      <c r="AG31" s="29">
        <f>(AF31/$AF$33)*$D$6</f>
        <v>4.9999999999999996E-2</v>
      </c>
      <c r="AI31" s="32" t="s">
        <v>636</v>
      </c>
      <c r="AJ31" t="s">
        <v>629</v>
      </c>
      <c r="AK31" s="28">
        <v>1</v>
      </c>
      <c r="AL31" s="29">
        <f t="shared" si="5"/>
        <v>0.03</v>
      </c>
    </row>
    <row r="32" spans="1:40" s="13" customFormat="1" x14ac:dyDescent="0.25">
      <c r="C32" s="17"/>
      <c r="D32"/>
      <c r="E32"/>
      <c r="F32"/>
      <c r="G32"/>
      <c r="I32" s="17"/>
      <c r="J32" s="31" t="s">
        <v>569</v>
      </c>
      <c r="K32" s="23" t="s">
        <v>551</v>
      </c>
      <c r="L32" s="23">
        <v>1</v>
      </c>
      <c r="M32" s="24">
        <f>L32/$L$40*$D$4</f>
        <v>3.5714285714285712E-2</v>
      </c>
      <c r="O32" s="7"/>
      <c r="P32" s="7" t="s">
        <v>376</v>
      </c>
      <c r="Q32" s="28"/>
      <c r="R32" s="29"/>
      <c r="S32" s="29"/>
      <c r="AB32" s="13" t="s">
        <v>560</v>
      </c>
      <c r="AG32" s="14"/>
      <c r="AI32" s="28"/>
      <c r="AJ32" s="28"/>
      <c r="AK32" s="28">
        <f>SUM(AK27:AK31)</f>
        <v>5</v>
      </c>
      <c r="AL32" s="29">
        <f>SUM(AL27:AL31)</f>
        <v>0.15</v>
      </c>
    </row>
    <row r="33" spans="3:33" s="13" customFormat="1" x14ac:dyDescent="0.25">
      <c r="C33" s="17"/>
      <c r="D33"/>
      <c r="E33"/>
      <c r="F33"/>
      <c r="G33"/>
      <c r="I33" s="17"/>
      <c r="J33" s="27"/>
      <c r="K33" s="23" t="s">
        <v>559</v>
      </c>
      <c r="L33" s="23">
        <v>0</v>
      </c>
      <c r="M33" s="24">
        <f t="shared" ref="M33" si="7">L33/$L$40*$D$4</f>
        <v>0</v>
      </c>
      <c r="O33" s="7"/>
      <c r="P33" s="7"/>
      <c r="Q33" s="28"/>
      <c r="R33" s="29"/>
      <c r="S33" s="29"/>
      <c r="AB33" s="26" t="s">
        <v>600</v>
      </c>
      <c r="AC33"/>
      <c r="AD33"/>
      <c r="AE33"/>
      <c r="AF33" s="21">
        <f>SUM(AF27:AF32)</f>
        <v>6</v>
      </c>
      <c r="AG33" s="8">
        <f>SUM(AG27:AG32)</f>
        <v>0.15</v>
      </c>
    </row>
    <row r="34" spans="3:33" s="13" customFormat="1" x14ac:dyDescent="0.25">
      <c r="C34" s="17"/>
      <c r="D34"/>
      <c r="E34"/>
      <c r="F34"/>
      <c r="G34"/>
      <c r="I34" s="17"/>
      <c r="O34" s="32" t="s">
        <v>586</v>
      </c>
      <c r="P34" s="13" t="s">
        <v>370</v>
      </c>
      <c r="Q34" s="28"/>
      <c r="R34" s="29"/>
      <c r="S34" s="29"/>
    </row>
    <row r="35" spans="3:33" s="13" customFormat="1" x14ac:dyDescent="0.25">
      <c r="C35" s="17"/>
      <c r="D35"/>
      <c r="E35"/>
      <c r="F35"/>
      <c r="G35"/>
      <c r="I35" s="17"/>
      <c r="J35" s="23"/>
      <c r="K35" s="23"/>
      <c r="L35" s="23"/>
      <c r="M35" s="23"/>
      <c r="P35" s="13" t="s">
        <v>371</v>
      </c>
      <c r="Q35" s="28"/>
      <c r="R35" s="29"/>
      <c r="S35" s="29"/>
      <c r="AB35" s="13" t="s">
        <v>634</v>
      </c>
    </row>
    <row r="36" spans="3:33" s="13" customFormat="1" x14ac:dyDescent="0.25">
      <c r="C36" s="17"/>
      <c r="D36"/>
      <c r="E36"/>
      <c r="F36"/>
      <c r="G36"/>
      <c r="I36" s="17"/>
      <c r="J36" s="31" t="s">
        <v>570</v>
      </c>
      <c r="K36" s="23" t="s">
        <v>504</v>
      </c>
      <c r="L36" s="23">
        <v>1</v>
      </c>
      <c r="M36" s="24">
        <f>L36/$L$40*$D$4</f>
        <v>3.5714285714285712E-2</v>
      </c>
      <c r="P36" s="13" t="s">
        <v>372</v>
      </c>
      <c r="AB36" s="28" t="s">
        <v>606</v>
      </c>
      <c r="AC36" s="28" t="s">
        <v>622</v>
      </c>
      <c r="AD36" s="28" t="s">
        <v>623</v>
      </c>
      <c r="AE36" s="28" t="s">
        <v>626</v>
      </c>
      <c r="AF36" s="28" t="s">
        <v>493</v>
      </c>
      <c r="AG36" s="28" t="s">
        <v>495</v>
      </c>
    </row>
    <row r="37" spans="3:33" s="13" customFormat="1" x14ac:dyDescent="0.25">
      <c r="C37" s="17"/>
      <c r="D37"/>
      <c r="E37"/>
      <c r="F37"/>
      <c r="G37"/>
      <c r="I37" s="17"/>
      <c r="J37" s="27"/>
      <c r="K37" s="23" t="s">
        <v>555</v>
      </c>
      <c r="L37" s="23">
        <v>0</v>
      </c>
      <c r="M37" s="24">
        <f t="shared" ref="M37:M38" si="8">L37/$L$40*$D$4</f>
        <v>0</v>
      </c>
      <c r="P37" s="13" t="s">
        <v>373</v>
      </c>
      <c r="AB37" s="33" t="s">
        <v>607</v>
      </c>
      <c r="AC37" s="7" t="s">
        <v>613</v>
      </c>
      <c r="AD37" s="7">
        <v>4.5</v>
      </c>
      <c r="AE37" s="7" t="s">
        <v>624</v>
      </c>
      <c r="AF37" s="28">
        <v>2</v>
      </c>
      <c r="AG37" s="29">
        <f>(AF37/$AF$33)*$D$6</f>
        <v>4.9999999999999996E-2</v>
      </c>
    </row>
    <row r="38" spans="3:33" s="13" customFormat="1" x14ac:dyDescent="0.25">
      <c r="C38" s="17"/>
      <c r="D38"/>
      <c r="E38"/>
      <c r="F38"/>
      <c r="G38"/>
      <c r="I38" s="17"/>
      <c r="K38" s="23" t="s">
        <v>556</v>
      </c>
      <c r="L38" s="23">
        <v>0</v>
      </c>
      <c r="M38" s="24">
        <f t="shared" si="8"/>
        <v>0</v>
      </c>
      <c r="P38" s="13" t="s">
        <v>375</v>
      </c>
      <c r="AB38"/>
      <c r="AC38"/>
      <c r="AD38"/>
      <c r="AE38"/>
      <c r="AF38"/>
      <c r="AG38"/>
    </row>
    <row r="39" spans="3:33" s="13" customFormat="1" x14ac:dyDescent="0.25">
      <c r="C39" s="17"/>
      <c r="D39"/>
      <c r="E39"/>
      <c r="F39"/>
      <c r="G39"/>
      <c r="I39" s="17"/>
      <c r="P39" s="13" t="s">
        <v>309</v>
      </c>
      <c r="AB39" s="33" t="s">
        <v>608</v>
      </c>
      <c r="AC39" s="7" t="s">
        <v>614</v>
      </c>
      <c r="AD39" s="7">
        <v>0.1</v>
      </c>
      <c r="AE39" s="7" t="s">
        <v>624</v>
      </c>
      <c r="AF39" s="28">
        <v>2</v>
      </c>
      <c r="AG39" s="29">
        <f>(AF39/$AF$33)*$D$6</f>
        <v>4.9999999999999996E-2</v>
      </c>
    </row>
    <row r="40" spans="3:33" s="13" customFormat="1" x14ac:dyDescent="0.25">
      <c r="C40" s="17"/>
      <c r="D40"/>
      <c r="E40"/>
      <c r="F40"/>
      <c r="G40"/>
      <c r="I40" s="17"/>
      <c r="J40" s="13" t="s">
        <v>560</v>
      </c>
      <c r="K40" s="13">
        <f>COUNTA(J13,J18,J23,J28,J32,J36)</f>
        <v>6</v>
      </c>
      <c r="L40" s="13">
        <f>SUM(L13:L38)</f>
        <v>7</v>
      </c>
      <c r="M40" s="14">
        <f>SUM(M13:M38)</f>
        <v>0.24999999999999994</v>
      </c>
      <c r="P40" s="13" t="s">
        <v>317</v>
      </c>
    </row>
    <row r="41" spans="3:33" s="13" customFormat="1" x14ac:dyDescent="0.25">
      <c r="C41" s="17"/>
      <c r="D41"/>
      <c r="E41"/>
      <c r="F41"/>
      <c r="G41"/>
      <c r="I41" s="17"/>
      <c r="J41" s="26" t="s">
        <v>552</v>
      </c>
      <c r="P41" s="13" t="s">
        <v>311</v>
      </c>
      <c r="AB41" s="33" t="s">
        <v>609</v>
      </c>
      <c r="AC41" s="7" t="s">
        <v>615</v>
      </c>
      <c r="AD41" s="7">
        <v>30</v>
      </c>
      <c r="AE41" s="7" t="s">
        <v>624</v>
      </c>
      <c r="AF41" s="28">
        <v>2</v>
      </c>
      <c r="AG41" s="29">
        <f>(AF41/$AF$33)*$D$6</f>
        <v>4.9999999999999996E-2</v>
      </c>
    </row>
    <row r="42" spans="3:33" s="13" customFormat="1" x14ac:dyDescent="0.25">
      <c r="C42" s="17"/>
      <c r="D42"/>
      <c r="E42"/>
      <c r="F42"/>
      <c r="G42"/>
      <c r="I42" s="17"/>
      <c r="P42" s="13" t="s">
        <v>312</v>
      </c>
      <c r="AB42" s="13" t="s">
        <v>560</v>
      </c>
      <c r="AG42" s="14"/>
    </row>
    <row r="43" spans="3:33" s="13" customFormat="1" x14ac:dyDescent="0.25">
      <c r="C43" s="17"/>
      <c r="D43"/>
      <c r="E43"/>
      <c r="F43"/>
      <c r="G43"/>
      <c r="I43" s="17"/>
      <c r="AB43" s="26" t="s">
        <v>600</v>
      </c>
      <c r="AC43"/>
      <c r="AD43"/>
      <c r="AE43"/>
      <c r="AF43" s="21">
        <f>SUM(AF37:AF42)</f>
        <v>6</v>
      </c>
      <c r="AG43" s="8">
        <f>SUM(AG37:AG42)</f>
        <v>0.15</v>
      </c>
    </row>
    <row r="44" spans="3:33" s="13" customFormat="1" x14ac:dyDescent="0.25">
      <c r="C44" s="17"/>
      <c r="D44"/>
      <c r="E44"/>
      <c r="F44"/>
      <c r="G44"/>
      <c r="I44" s="17"/>
      <c r="O44" s="32" t="s">
        <v>587</v>
      </c>
      <c r="Q44" s="28"/>
      <c r="R44" s="29"/>
    </row>
    <row r="45" spans="3:33" s="13" customFormat="1" x14ac:dyDescent="0.25">
      <c r="C45" s="17"/>
      <c r="D45"/>
      <c r="E45"/>
      <c r="F45"/>
      <c r="G45"/>
      <c r="I45" s="17"/>
      <c r="O45" s="32" t="s">
        <v>594</v>
      </c>
      <c r="P45" s="7" t="s">
        <v>391</v>
      </c>
      <c r="Q45" s="28">
        <v>1</v>
      </c>
      <c r="R45" s="29">
        <f>(Q45/$Q$70)*$D$5</f>
        <v>9.3749999999999997E-3</v>
      </c>
    </row>
    <row r="46" spans="3:33" s="13" customFormat="1" x14ac:dyDescent="0.25">
      <c r="C46" s="17"/>
      <c r="D46"/>
      <c r="E46"/>
      <c r="F46"/>
      <c r="G46"/>
      <c r="I46" s="17"/>
      <c r="P46" s="13" t="s">
        <v>392</v>
      </c>
      <c r="Q46" s="28">
        <v>1</v>
      </c>
      <c r="R46" s="29">
        <f t="shared" ref="R46:R50" si="9">(Q46/$Q$70)*$D$5</f>
        <v>9.3749999999999997E-3</v>
      </c>
    </row>
    <row r="47" spans="3:33" s="13" customFormat="1" x14ac:dyDescent="0.25">
      <c r="C47" s="17"/>
      <c r="D47"/>
      <c r="E47"/>
      <c r="F47"/>
      <c r="G47"/>
      <c r="I47" s="17"/>
      <c r="P47" s="13" t="s">
        <v>393</v>
      </c>
      <c r="Q47" s="28">
        <v>1</v>
      </c>
      <c r="R47" s="29">
        <f t="shared" si="9"/>
        <v>9.3749999999999997E-3</v>
      </c>
      <c r="S47" s="29"/>
    </row>
    <row r="48" spans="3:33" s="13" customFormat="1" x14ac:dyDescent="0.25">
      <c r="C48" s="17"/>
      <c r="D48"/>
      <c r="E48"/>
      <c r="F48"/>
      <c r="G48"/>
      <c r="I48" s="17"/>
      <c r="P48" s="13" t="s">
        <v>394</v>
      </c>
      <c r="Q48" s="28">
        <v>1</v>
      </c>
      <c r="R48" s="29">
        <f t="shared" si="9"/>
        <v>9.3749999999999997E-3</v>
      </c>
      <c r="AB48"/>
      <c r="AC48"/>
      <c r="AD48"/>
      <c r="AE48"/>
      <c r="AF48"/>
      <c r="AG48"/>
    </row>
    <row r="49" spans="3:39" s="13" customFormat="1" x14ac:dyDescent="0.25">
      <c r="C49" s="17"/>
      <c r="D49"/>
      <c r="E49"/>
      <c r="F49"/>
      <c r="G49"/>
      <c r="I49" s="17"/>
      <c r="AB49"/>
      <c r="AC49"/>
      <c r="AD49"/>
      <c r="AE49"/>
      <c r="AF49"/>
      <c r="AG49"/>
    </row>
    <row r="50" spans="3:39" s="13" customFormat="1" x14ac:dyDescent="0.25">
      <c r="C50" s="17"/>
      <c r="D50"/>
      <c r="E50"/>
      <c r="F50"/>
      <c r="G50"/>
      <c r="I50" s="17"/>
      <c r="O50" s="32" t="s">
        <v>588</v>
      </c>
      <c r="Q50" s="28">
        <v>1</v>
      </c>
      <c r="R50" s="29">
        <f t="shared" si="9"/>
        <v>9.3749999999999997E-3</v>
      </c>
      <c r="AB50"/>
      <c r="AC50"/>
      <c r="AD50"/>
      <c r="AE50"/>
      <c r="AF50"/>
      <c r="AG50"/>
      <c r="AI50"/>
      <c r="AJ50"/>
      <c r="AK50"/>
      <c r="AL50"/>
      <c r="AM50"/>
    </row>
    <row r="51" spans="3:39" s="13" customFormat="1" x14ac:dyDescent="0.25">
      <c r="C51" s="17"/>
      <c r="D51"/>
      <c r="E51"/>
      <c r="F51"/>
      <c r="G51"/>
      <c r="I51" s="17"/>
      <c r="O51"/>
      <c r="P51" s="13" t="s">
        <v>395</v>
      </c>
      <c r="Q51" s="28"/>
      <c r="R51" s="29"/>
      <c r="AB51"/>
      <c r="AC51"/>
      <c r="AD51"/>
      <c r="AE51"/>
      <c r="AF51"/>
      <c r="AG51"/>
      <c r="AI51"/>
      <c r="AJ51"/>
      <c r="AK51"/>
      <c r="AL51"/>
      <c r="AM51"/>
    </row>
    <row r="52" spans="3:39" s="13" customFormat="1" x14ac:dyDescent="0.25">
      <c r="C52" s="17"/>
      <c r="D52"/>
      <c r="E52"/>
      <c r="F52"/>
      <c r="G52"/>
      <c r="I52" s="17"/>
      <c r="O52"/>
      <c r="P52" t="s">
        <v>396</v>
      </c>
      <c r="Q52" s="28"/>
      <c r="R52" s="29"/>
      <c r="AB52"/>
      <c r="AC52"/>
      <c r="AD52"/>
      <c r="AE52"/>
      <c r="AF52"/>
      <c r="AG52"/>
      <c r="AI52"/>
      <c r="AJ52"/>
      <c r="AK52"/>
      <c r="AL52"/>
      <c r="AM52"/>
    </row>
    <row r="53" spans="3:39" x14ac:dyDescent="0.25">
      <c r="P53" t="s">
        <v>397</v>
      </c>
      <c r="Q53" s="28"/>
      <c r="R53" s="29"/>
    </row>
    <row r="54" spans="3:39" x14ac:dyDescent="0.25">
      <c r="Q54" s="28"/>
      <c r="R54" s="29"/>
    </row>
    <row r="56" spans="3:39" x14ac:dyDescent="0.25">
      <c r="O56" s="10" t="s">
        <v>589</v>
      </c>
      <c r="Q56" s="28"/>
      <c r="R56" s="29"/>
    </row>
    <row r="57" spans="3:39" x14ac:dyDescent="0.25">
      <c r="O57" t="s">
        <v>590</v>
      </c>
    </row>
    <row r="58" spans="3:39" x14ac:dyDescent="0.25">
      <c r="O58" t="s">
        <v>591</v>
      </c>
    </row>
    <row r="59" spans="3:39" x14ac:dyDescent="0.25">
      <c r="O59" t="s">
        <v>592</v>
      </c>
    </row>
    <row r="61" spans="3:39" x14ac:dyDescent="0.25">
      <c r="O61" s="10" t="s">
        <v>688</v>
      </c>
      <c r="Q61" s="28"/>
      <c r="R61" s="29"/>
    </row>
    <row r="63" spans="3:39" x14ac:dyDescent="0.25">
      <c r="O63" s="21" t="s">
        <v>543</v>
      </c>
      <c r="P63" s="21" t="s">
        <v>505</v>
      </c>
    </row>
    <row r="64" spans="3:39" x14ac:dyDescent="0.25">
      <c r="O64" t="s">
        <v>593</v>
      </c>
      <c r="Q64">
        <v>1</v>
      </c>
      <c r="R64" s="29">
        <f t="shared" ref="R64:R68" si="10">(Q64/$Q$70)*$D$5</f>
        <v>9.3749999999999997E-3</v>
      </c>
    </row>
    <row r="65" spans="15:18" x14ac:dyDescent="0.25">
      <c r="O65" t="s">
        <v>597</v>
      </c>
      <c r="Q65">
        <v>1</v>
      </c>
      <c r="R65" s="29">
        <f t="shared" si="10"/>
        <v>9.3749999999999997E-3</v>
      </c>
    </row>
    <row r="66" spans="15:18" x14ac:dyDescent="0.25">
      <c r="O66" t="s">
        <v>598</v>
      </c>
      <c r="Q66">
        <v>1</v>
      </c>
      <c r="R66" s="29">
        <f t="shared" si="10"/>
        <v>9.3749999999999997E-3</v>
      </c>
    </row>
    <row r="67" spans="15:18" x14ac:dyDescent="0.25">
      <c r="O67" t="s">
        <v>595</v>
      </c>
      <c r="Q67">
        <v>1</v>
      </c>
      <c r="R67" s="29">
        <f t="shared" si="10"/>
        <v>9.3749999999999997E-3</v>
      </c>
    </row>
    <row r="68" spans="15:18" x14ac:dyDescent="0.25">
      <c r="O68" t="s">
        <v>596</v>
      </c>
      <c r="Q68">
        <v>1</v>
      </c>
      <c r="R68" s="29">
        <f t="shared" si="10"/>
        <v>9.3749999999999997E-3</v>
      </c>
    </row>
    <row r="70" spans="15:18" x14ac:dyDescent="0.25">
      <c r="O70" s="13" t="s">
        <v>560</v>
      </c>
      <c r="P70" s="13"/>
      <c r="Q70" s="13">
        <f>SUM(Q13:Q68)</f>
        <v>16</v>
      </c>
      <c r="R70" s="14">
        <f>SUM(R13:R68)</f>
        <v>0.14999999999999994</v>
      </c>
    </row>
    <row r="71" spans="15:18" x14ac:dyDescent="0.25">
      <c r="O71" s="26" t="s">
        <v>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70C1B-47D5-4EC4-89DC-FF21557DD955}">
  <dimension ref="A1:J48"/>
  <sheetViews>
    <sheetView workbookViewId="0">
      <selection activeCell="H21" sqref="H21"/>
    </sheetView>
  </sheetViews>
  <sheetFormatPr defaultRowHeight="15" x14ac:dyDescent="0.25"/>
  <sheetData>
    <row r="1" spans="1:10" x14ac:dyDescent="0.25">
      <c r="A1" t="s">
        <v>640</v>
      </c>
    </row>
    <row r="3" spans="1:10" x14ac:dyDescent="0.25">
      <c r="A3" s="10" t="s">
        <v>645</v>
      </c>
    </row>
    <row r="4" spans="1:10" x14ac:dyDescent="0.25">
      <c r="A4" s="10" t="s">
        <v>647</v>
      </c>
      <c r="J4" t="s">
        <v>648</v>
      </c>
    </row>
    <row r="5" spans="1:10" x14ac:dyDescent="0.25">
      <c r="A5" s="10" t="s">
        <v>646</v>
      </c>
      <c r="J5" t="s">
        <v>648</v>
      </c>
    </row>
    <row r="7" spans="1:10" x14ac:dyDescent="0.25">
      <c r="A7" t="s">
        <v>641</v>
      </c>
    </row>
    <row r="8" spans="1:10" x14ac:dyDescent="0.25">
      <c r="A8" s="10" t="s">
        <v>644</v>
      </c>
    </row>
    <row r="10" spans="1:10" x14ac:dyDescent="0.25">
      <c r="A10" t="s">
        <v>642</v>
      </c>
    </row>
    <row r="11" spans="1:10" x14ac:dyDescent="0.25">
      <c r="A11" t="s">
        <v>643</v>
      </c>
    </row>
    <row r="13" spans="1:10" x14ac:dyDescent="0.25">
      <c r="A13" t="s">
        <v>666</v>
      </c>
      <c r="H13" t="s">
        <v>667</v>
      </c>
    </row>
    <row r="15" spans="1:10" x14ac:dyDescent="0.25">
      <c r="A15" t="s">
        <v>649</v>
      </c>
    </row>
    <row r="17" spans="1:8" x14ac:dyDescent="0.25">
      <c r="A17" t="s">
        <v>650</v>
      </c>
      <c r="H17" t="s">
        <v>668</v>
      </c>
    </row>
    <row r="19" spans="1:8" x14ac:dyDescent="0.25">
      <c r="A19" t="s">
        <v>651</v>
      </c>
      <c r="H19" t="s">
        <v>668</v>
      </c>
    </row>
    <row r="21" spans="1:8" x14ac:dyDescent="0.25">
      <c r="A21" t="s">
        <v>689</v>
      </c>
      <c r="H21" t="s">
        <v>668</v>
      </c>
    </row>
    <row r="23" spans="1:8" x14ac:dyDescent="0.25">
      <c r="A23" t="s">
        <v>652</v>
      </c>
      <c r="H23" t="s">
        <v>668</v>
      </c>
    </row>
    <row r="25" spans="1:8" x14ac:dyDescent="0.25">
      <c r="A25" t="s">
        <v>653</v>
      </c>
      <c r="D25" t="s">
        <v>654</v>
      </c>
      <c r="H25" t="s">
        <v>668</v>
      </c>
    </row>
    <row r="27" spans="1:8" x14ac:dyDescent="0.25">
      <c r="A27" t="s">
        <v>655</v>
      </c>
      <c r="H27" t="s">
        <v>668</v>
      </c>
    </row>
    <row r="29" spans="1:8" x14ac:dyDescent="0.25">
      <c r="A29" t="s">
        <v>656</v>
      </c>
      <c r="D29" t="s">
        <v>669</v>
      </c>
      <c r="H29" t="s">
        <v>668</v>
      </c>
    </row>
    <row r="31" spans="1:8" x14ac:dyDescent="0.25">
      <c r="A31" t="s">
        <v>657</v>
      </c>
    </row>
    <row r="33" spans="1:8" x14ac:dyDescent="0.25">
      <c r="A33" t="s">
        <v>658</v>
      </c>
    </row>
    <row r="35" spans="1:8" x14ac:dyDescent="0.25">
      <c r="A35" t="s">
        <v>659</v>
      </c>
    </row>
    <row r="37" spans="1:8" x14ac:dyDescent="0.25">
      <c r="A37" t="s">
        <v>660</v>
      </c>
    </row>
    <row r="38" spans="1:8" x14ac:dyDescent="0.25">
      <c r="A38" t="s">
        <v>661</v>
      </c>
    </row>
    <row r="39" spans="1:8" x14ac:dyDescent="0.25">
      <c r="A39" t="s">
        <v>662</v>
      </c>
    </row>
    <row r="40" spans="1:8" x14ac:dyDescent="0.25">
      <c r="A40" t="s">
        <v>663</v>
      </c>
    </row>
    <row r="41" spans="1:8" x14ac:dyDescent="0.25">
      <c r="A41" t="s">
        <v>664</v>
      </c>
    </row>
    <row r="42" spans="1:8" x14ac:dyDescent="0.25">
      <c r="A42" t="s">
        <v>472</v>
      </c>
    </row>
    <row r="44" spans="1:8" x14ac:dyDescent="0.25">
      <c r="A44" t="s">
        <v>665</v>
      </c>
      <c r="H44" t="s">
        <v>670</v>
      </c>
    </row>
    <row r="46" spans="1:8" x14ac:dyDescent="0.25">
      <c r="A46" t="s">
        <v>671</v>
      </c>
    </row>
    <row r="47" spans="1:8" x14ac:dyDescent="0.25">
      <c r="A47" t="s">
        <v>672</v>
      </c>
    </row>
    <row r="48" spans="1:8" x14ac:dyDescent="0.25">
      <c r="A48" t="s">
        <v>673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3358-94D6-4AE6-B207-ADB225C66DD1}">
  <sheetPr codeName="Sheet1"/>
  <dimension ref="A1:F64"/>
  <sheetViews>
    <sheetView workbookViewId="0">
      <selection activeCell="C28" sqref="C28"/>
    </sheetView>
  </sheetViews>
  <sheetFormatPr defaultRowHeight="15" x14ac:dyDescent="0.25"/>
  <cols>
    <col min="1" max="1" width="20.7109375" bestFit="1" customWidth="1"/>
    <col min="2" max="2" width="10" bestFit="1" customWidth="1"/>
    <col min="3" max="3" width="42.7109375" bestFit="1" customWidth="1"/>
  </cols>
  <sheetData>
    <row r="1" spans="1:3" x14ac:dyDescent="0.25">
      <c r="A1" t="s">
        <v>691</v>
      </c>
      <c r="B1" t="s">
        <v>693</v>
      </c>
      <c r="C1" t="s">
        <v>692</v>
      </c>
    </row>
    <row r="2" spans="1:3" x14ac:dyDescent="0.25">
      <c r="A2" t="s">
        <v>694</v>
      </c>
      <c r="B2" t="s">
        <v>695</v>
      </c>
      <c r="C2" t="s">
        <v>695</v>
      </c>
    </row>
    <row r="14" spans="1:3" x14ac:dyDescent="0.25">
      <c r="A14" t="s">
        <v>697</v>
      </c>
    </row>
    <row r="16" spans="1:3" x14ac:dyDescent="0.25">
      <c r="A16" t="s">
        <v>698</v>
      </c>
    </row>
    <row r="18" spans="1:3" x14ac:dyDescent="0.25">
      <c r="A18">
        <v>7688</v>
      </c>
      <c r="B18" t="s">
        <v>699</v>
      </c>
      <c r="C18" t="s">
        <v>700</v>
      </c>
    </row>
    <row r="19" spans="1:3" x14ac:dyDescent="0.25">
      <c r="A19">
        <v>7689</v>
      </c>
      <c r="C19" t="s">
        <v>701</v>
      </c>
    </row>
    <row r="64" spans="1:6" ht="16.5" x14ac:dyDescent="0.25">
      <c r="A64" s="35"/>
      <c r="B64" s="35"/>
      <c r="C64" s="35"/>
      <c r="D64" s="35"/>
      <c r="E64" s="36"/>
      <c r="F64" s="3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F8F8-5BEE-4B28-AD24-29120FD3AE42}">
  <dimension ref="A1:H8"/>
  <sheetViews>
    <sheetView workbookViewId="0">
      <selection activeCell="H31" sqref="H31"/>
    </sheetView>
  </sheetViews>
  <sheetFormatPr defaultRowHeight="15" x14ac:dyDescent="0.25"/>
  <cols>
    <col min="2" max="2" width="34.42578125" bestFit="1" customWidth="1"/>
  </cols>
  <sheetData>
    <row r="1" spans="1:8" x14ac:dyDescent="0.25">
      <c r="C1" s="4" t="s">
        <v>472</v>
      </c>
      <c r="D1" s="4">
        <v>2025</v>
      </c>
      <c r="E1" s="4">
        <v>2026</v>
      </c>
      <c r="F1" s="4">
        <v>2027</v>
      </c>
      <c r="G1" s="4">
        <v>2028</v>
      </c>
      <c r="H1" s="4">
        <v>2029</v>
      </c>
    </row>
    <row r="2" spans="1:8" x14ac:dyDescent="0.25">
      <c r="B2" t="s">
        <v>468</v>
      </c>
    </row>
    <row r="3" spans="1:8" x14ac:dyDescent="0.25">
      <c r="B3" t="s">
        <v>1</v>
      </c>
    </row>
    <row r="4" spans="1:8" x14ac:dyDescent="0.25">
      <c r="B4" t="s">
        <v>469</v>
      </c>
    </row>
    <row r="5" spans="1:8" x14ac:dyDescent="0.25">
      <c r="A5" s="22" t="s">
        <v>473</v>
      </c>
      <c r="B5" s="2" t="s">
        <v>471</v>
      </c>
      <c r="C5" s="2"/>
      <c r="D5" s="2"/>
      <c r="E5" s="2"/>
      <c r="F5" s="2"/>
      <c r="G5" s="2"/>
      <c r="H5" s="2"/>
    </row>
    <row r="6" spans="1:8" x14ac:dyDescent="0.25">
      <c r="A6" s="22"/>
      <c r="B6" s="2" t="s">
        <v>470</v>
      </c>
      <c r="C6" s="2"/>
      <c r="D6" s="2"/>
      <c r="E6" s="2"/>
      <c r="F6" s="2"/>
      <c r="G6" s="2"/>
      <c r="H6" s="2"/>
    </row>
    <row r="7" spans="1:8" x14ac:dyDescent="0.25">
      <c r="A7" s="22" t="s">
        <v>473</v>
      </c>
      <c r="B7" s="3" t="s">
        <v>471</v>
      </c>
      <c r="C7" s="3"/>
      <c r="D7" s="3"/>
      <c r="E7" s="3"/>
      <c r="F7" s="3"/>
      <c r="G7" s="3"/>
      <c r="H7" s="3"/>
    </row>
    <row r="8" spans="1:8" x14ac:dyDescent="0.25">
      <c r="A8" s="22"/>
      <c r="B8" s="3" t="s">
        <v>474</v>
      </c>
      <c r="C8" s="3"/>
      <c r="D8" s="3"/>
      <c r="E8" s="3"/>
      <c r="F8" s="3"/>
      <c r="G8" s="3"/>
      <c r="H8" s="3"/>
    </row>
  </sheetData>
  <mergeCells count="2">
    <mergeCell ref="A5:A6"/>
    <mergeCell ref="A7:A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RSPP</vt:lpstr>
      <vt:lpstr>PNPPKP</vt:lpstr>
      <vt:lpstr>SPSK</vt:lpstr>
      <vt:lpstr>Tagging dinamis</vt:lpstr>
      <vt:lpstr>Tagging RENJA</vt:lpstr>
      <vt:lpstr>Form Proyek 7691</vt:lpstr>
      <vt:lpstr>Pemaketan</vt:lpstr>
      <vt:lpstr>AKUN</vt:lpstr>
      <vt:lpstr>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Martha Kurniawan</dc:creator>
  <cp:lastModifiedBy>Adi Martha Kurniawan</cp:lastModifiedBy>
  <dcterms:created xsi:type="dcterms:W3CDTF">2026-09-01T07:05:52Z</dcterms:created>
  <dcterms:modified xsi:type="dcterms:W3CDTF">2026-09-21T11:22:31Z</dcterms:modified>
</cp:coreProperties>
</file>